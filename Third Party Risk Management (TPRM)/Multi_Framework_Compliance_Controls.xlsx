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BB178F62-F41F-4CB9-8E80-2B1DE66D4E1A}" xr6:coauthVersionLast="47" xr6:coauthVersionMax="47" xr10:uidLastSave="{00000000-0000-0000-0000-000000000000}"/>
  <bookViews>
    <workbookView xWindow="28680" yWindow="-120" windowWidth="29040" windowHeight="15720" xr2:uid="{00000000-000D-0000-FFFF-FFFF00000000}"/>
  </bookViews>
  <sheets>
    <sheet name="1. Framework Overview" sheetId="1" r:id="rId1"/>
    <sheet name="2. Unified Control Matrix" sheetId="2" r:id="rId2"/>
    <sheet name="3. CRA" sheetId="3" r:id="rId3"/>
    <sheet name="4. DPDPA" sheetId="4" r:id="rId4"/>
    <sheet name="5. GDPR" sheetId="5" r:id="rId5"/>
    <sheet name="6. HIPAA" sheetId="6" r:id="rId6"/>
    <sheet name="7. GLBA" sheetId="7" r:id="rId7"/>
    <sheet name="8. SOX" sheetId="8" r:id="rId8"/>
    <sheet name="9. Gap Assessment" sheetId="9" r:id="rId9"/>
    <sheet name="10. Compliance Dashboard" sheetId="10" r:id="rId10"/>
  </sheets>
  <definedNames>
    <definedName name="_xlnm._FilterDatabase" localSheetId="1" hidden="1">'2. Unified Control Matrix'!$A$5:$T$110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11" i="2" l="1"/>
  <c r="S111" i="2"/>
  <c r="R111" i="2"/>
  <c r="D111" i="2"/>
</calcChain>
</file>

<file path=xl/sharedStrings.xml><?xml version="1.0" encoding="utf-8"?>
<sst xmlns="http://schemas.openxmlformats.org/spreadsheetml/2006/main" count="2613" uniqueCount="733">
  <si>
    <t xml:space="preserve">  🌐  MULTI-FRAMEWORK COMPLIANCE CONTROL MAPPING</t>
  </si>
  <si>
    <t xml:space="preserve">  CRA | DPDPA 2023 | GDPR | HIPAA | GLBA | SOX — Unified control framework for enterprise compliance programs</t>
  </si>
  <si>
    <t xml:space="preserve">  ℹ  This workbook maps security and privacy controls across 6 major regulatory frameworks. Use Tab 2 for the unified control matrix, Tabs 3-8 for per-framework details, Tab 9 for gap assessment, Tab 10 for compliance dashboard.</t>
  </si>
  <si>
    <t>#</t>
  </si>
  <si>
    <t>Framework</t>
  </si>
  <si>
    <t>Full Name</t>
  </si>
  <si>
    <t>Jurisdiction</t>
  </si>
  <si>
    <t>Enacted</t>
  </si>
  <si>
    <t>Scope</t>
  </si>
  <si>
    <t>Max Penalty</t>
  </si>
  <si>
    <t>Key Requirements</t>
  </si>
  <si>
    <t>CRA</t>
  </si>
  <si>
    <t>EU Cyber Resilience Act</t>
  </si>
  <si>
    <t>EU — all manufacturers/importers/distributors of products with digital elements</t>
  </si>
  <si>
    <t>2024 enacted; enforcement from 2027</t>
  </si>
  <si>
    <t>Products with digital elements sold in EU market</t>
  </si>
  <si>
    <t>CE marking withdrawal; up to €15M or 2.5% global turnover</t>
  </si>
  <si>
    <t>Security by design, vulnerability handling, incident reporting, SBOM</t>
  </si>
  <si>
    <t>DPDPA</t>
  </si>
  <si>
    <t>Digital Personal Data Protection Act 2023</t>
  </si>
  <si>
    <t>India — all entities processing personal data in India or offering goods/services to Indian residents</t>
  </si>
  <si>
    <t>2023 enacted; rules pending</t>
  </si>
  <si>
    <t>All personal data processed digitally in India</t>
  </si>
  <si>
    <t>Up to ₹250 Cr per violation</t>
  </si>
  <si>
    <t>Consent, data minimisation, purpose limitation, DSR, breach notification, DPO</t>
  </si>
  <si>
    <t>GDPR</t>
  </si>
  <si>
    <t>General Data Protection Regulation</t>
  </si>
  <si>
    <t>EU/EEA — all entities processing EU resident data regardless of organisation location</t>
  </si>
  <si>
    <t>Effective May 2018</t>
  </si>
  <si>
    <t>Personal data of EU/EEA residents</t>
  </si>
  <si>
    <t>Up to €20M or 4% global annual turnover</t>
  </si>
  <si>
    <t>Lawful basis, data subject rights, privacy by design, DPO, DPIA, 72-hr breach notification</t>
  </si>
  <si>
    <t>HIPAA</t>
  </si>
  <si>
    <t>Health Insurance Portability and Accountability Act</t>
  </si>
  <si>
    <t>USA — covered entities (healthcare providers, health plans, clearinghouses) and business associates</t>
  </si>
  <si>
    <t>Effective 2003; Security Rule 2005; updates ongoing</t>
  </si>
  <si>
    <t>Protected Health Information (PHI) — electronic (ePHI) and physical</t>
  </si>
  <si>
    <t>Up to $1.9M per category per year; criminal prosecution</t>
  </si>
  <si>
    <t>Administrative, physical, technical safeguards; breach notification; BAAs</t>
  </si>
  <si>
    <t>GLBA</t>
  </si>
  <si>
    <t>Gramm-Leach-Bliley Act / Safeguards Rule</t>
  </si>
  <si>
    <t>USA — financial institutions: banks, insurance, securities, credit unions, mortgage lenders, tax preparers</t>
  </si>
  <si>
    <t>Effective 2001; updated Safeguards Rule 2023</t>
  </si>
  <si>
    <t>Non-public personal financial information (NPI)</t>
  </si>
  <si>
    <t>Civil penalties up to $100K per violation; criminal prosecution</t>
  </si>
  <si>
    <t>Information security programme, risk assessment, access controls, encryption, vendor oversight</t>
  </si>
  <si>
    <t>SOX</t>
  </si>
  <si>
    <t>Sarbanes-Oxley Act (Sections 302, 404, 906)</t>
  </si>
  <si>
    <t>USA — all public companies listed on US exchanges; subsidiaries of US-listed foreign companies</t>
  </si>
  <si>
    <t>Effective 2002</t>
  </si>
  <si>
    <t>Financial reporting systems and controls</t>
  </si>
  <si>
    <t>Criminal prosecution; fines up to $25M; delisting</t>
  </si>
  <si>
    <t>IT general controls, financial reporting integrity, access controls, change management, audit trail</t>
  </si>
  <si>
    <t xml:space="preserve">  KEY INSIGHT: Many organisations must comply with multiple frameworks simultaneously. An integrated control approach (build once, map everywhere) reduces compliance cost by 30-40% versus managing frameworks independently.</t>
  </si>
  <si>
    <t>FRAMEWORK OVERLAP MAP — Controls shared across frameworks</t>
  </si>
  <si>
    <t>Control Area</t>
  </si>
  <si>
    <t>Access Controls &amp; IAM</t>
  </si>
  <si>
    <t>✓</t>
  </si>
  <si>
    <t>Encryption (at rest &amp; transit)</t>
  </si>
  <si>
    <t>Incident Response &amp; Notification</t>
  </si>
  <si>
    <t>Audit Logging &amp; Trails</t>
  </si>
  <si>
    <t>Risk Assessment</t>
  </si>
  <si>
    <t>Vendor/Third-Party Management</t>
  </si>
  <si>
    <t>Data Classification</t>
  </si>
  <si>
    <t>—</t>
  </si>
  <si>
    <t>Privacy Notice / Transparency</t>
  </si>
  <si>
    <t>Data Subject Rights</t>
  </si>
  <si>
    <t>Vulnerability Management</t>
  </si>
  <si>
    <t>Security by Design</t>
  </si>
  <si>
    <t>SBOM / Software Inventory</t>
  </si>
  <si>
    <t>Financial Control Testing</t>
  </si>
  <si>
    <t>BAA / DPA Agreements</t>
  </si>
  <si>
    <t>→ TABS: 1.Framework Overview | 2.Unified Control Matrix | 3.CRA | 4.DPDPA | 5.GDPR | 6.HIPAA | 7.GLBA | 8.SOX | 9.Gap Assessment | 10.Compliance Dashboard</t>
  </si>
  <si>
    <t xml:space="preserve">  🛡️  UNIFIED SECURITY &amp; PRIVACY CONTROL MATRIX</t>
  </si>
  <si>
    <t xml:space="preserve">  Master cross-framework control library — implement once, satisfy multiple frameworks simultaneously. Update Status columns to track compliance.</t>
  </si>
  <si>
    <t xml:space="preserve">  ℹ  Yellow = input cells. Dropdowns available for Status and Risk columns. Summary auto-calculates at bottom. Filter by Control Domain or Framework to focus review sessions.</t>
  </si>
  <si>
    <t>CONTROL IDENTIFICATION</t>
  </si>
  <si>
    <t>FRAMEWORK COVERAGE</t>
  </si>
  <si>
    <t>IMPLEMENTATION STATUS</t>
  </si>
  <si>
    <t>RISK &amp; EVIDENCE</t>
  </si>
  <si>
    <t>Control Domain</t>
  </si>
  <si>
    <t>Control Requirement</t>
  </si>
  <si>
    <t>Control ID</t>
  </si>
  <si>
    <t>Type</t>
  </si>
  <si>
    <t>CRA Ref</t>
  </si>
  <si>
    <t>DPDPA Ref</t>
  </si>
  <si>
    <t>GDPR Ref</t>
  </si>
  <si>
    <t>HIPAA Ref</t>
  </si>
  <si>
    <t>GLBA Ref</t>
  </si>
  <si>
    <t>SOX Ref</t>
  </si>
  <si>
    <t>Implementation
Status</t>
  </si>
  <si>
    <t>Risk Level
if Gap</t>
  </si>
  <si>
    <t>Evidence / Notes</t>
  </si>
  <si>
    <t>Governance</t>
  </si>
  <si>
    <t>Information security policy established, board-approved, communicated to all staff</t>
  </si>
  <si>
    <t>GOV-01</t>
  </si>
  <si>
    <t>Policy</t>
  </si>
  <si>
    <t>Art 13</t>
  </si>
  <si>
    <t>§7</t>
  </si>
  <si>
    <t>Art 5(1)(f)</t>
  </si>
  <si>
    <t>§164.308(a)(1)</t>
  </si>
  <si>
    <t>§314.4(a)</t>
  </si>
  <si>
    <t>COSO</t>
  </si>
  <si>
    <t>Not Started</t>
  </si>
  <si>
    <t>High</t>
  </si>
  <si>
    <t>Security roles and responsibilities defined — RACI matrix with named owners</t>
  </si>
  <si>
    <t>GOV-02</t>
  </si>
  <si>
    <t>Art 5(2)</t>
  </si>
  <si>
    <t>§164.308(a)(2)</t>
  </si>
  <si>
    <t>Risk management process established — annual assessment minimum</t>
  </si>
  <si>
    <t>GOV-03</t>
  </si>
  <si>
    <t>Process</t>
  </si>
  <si>
    <t>§8</t>
  </si>
  <si>
    <t>Art 32(1)</t>
  </si>
  <si>
    <t>§164.308(a)(1)(ii)(A)</t>
  </si>
  <si>
    <t>§314.4(b)</t>
  </si>
  <si>
    <t>AS5</t>
  </si>
  <si>
    <t>Security Steering Committee / governance body meets regularly with documented minutes</t>
  </si>
  <si>
    <t>GOV-04</t>
  </si>
  <si>
    <t>SOX §302</t>
  </si>
  <si>
    <t>Third-party supplier security programme — vendor assessment and contractual requirements</t>
  </si>
  <si>
    <t>GOV-05</t>
  </si>
  <si>
    <t>Art 14</t>
  </si>
  <si>
    <t>§13</t>
  </si>
  <si>
    <t>Art 28</t>
  </si>
  <si>
    <t>§164.308(b)(1)</t>
  </si>
  <si>
    <t>§314.4(f)</t>
  </si>
  <si>
    <t>ITGC</t>
  </si>
  <si>
    <t>Internal audit programme — security controls testing at least annually</t>
  </si>
  <si>
    <t>GOV-06</t>
  </si>
  <si>
    <t>SOX §404</t>
  </si>
  <si>
    <t>Security awareness training programme — annual mandatory training for all staff</t>
  </si>
  <si>
    <t>GOV-07</t>
  </si>
  <si>
    <t>Art 39(1)(b)</t>
  </si>
  <si>
    <t>§164.308(a)(5)</t>
  </si>
  <si>
    <t>§314.4(e)</t>
  </si>
  <si>
    <t>Policy exception management process — all exceptions logged, approved, and time-limited</t>
  </si>
  <si>
    <t>GOV-08</t>
  </si>
  <si>
    <t>Art 32</t>
  </si>
  <si>
    <t>Risk Management</t>
  </si>
  <si>
    <t>Formal risk assessment conducted covering all systems processing regulated data</t>
  </si>
  <si>
    <t>RM-01</t>
  </si>
  <si>
    <t>Art 10</t>
  </si>
  <si>
    <t>Art 32(1)(b)</t>
  </si>
  <si>
    <t>Risk register maintained with likelihood, impact scores, owners, and treatment plans</t>
  </si>
  <si>
    <t>RM-02</t>
  </si>
  <si>
    <t>§164.308(a)(1)(ii)(B)</t>
  </si>
  <si>
    <t>COSO ERM</t>
  </si>
  <si>
    <t>Risk treatment plans implemented and tracked — Critical risks addressed within 30 days</t>
  </si>
  <si>
    <t>RM-03</t>
  </si>
  <si>
    <t>Privacy Impact Assessment (PIA/DPIA) for high-risk processing activities</t>
  </si>
  <si>
    <t>RM-04</t>
  </si>
  <si>
    <t>Art 35</t>
  </si>
  <si>
    <t>Threat modelling for new systems and significant changes</t>
  </si>
  <si>
    <t>RM-05</t>
  </si>
  <si>
    <t>Art 25</t>
  </si>
  <si>
    <t>Business Impact Analysis for critical systems and data processing activities</t>
  </si>
  <si>
    <t>RM-06</t>
  </si>
  <si>
    <t>§164.308(a)(7)</t>
  </si>
  <si>
    <t>Access Control &amp; IAM</t>
  </si>
  <si>
    <t>Formal access control policy based on least privilege and need-to-know</t>
  </si>
  <si>
    <t>IAM-01</t>
  </si>
  <si>
    <t>Technical</t>
  </si>
  <si>
    <t>§11</t>
  </si>
  <si>
    <t>§164.312(a)(1)</t>
  </si>
  <si>
    <t>§314.4(c)</t>
  </si>
  <si>
    <t>Multi-Factor Authentication (MFA) for all privileged and remote access</t>
  </si>
  <si>
    <t>IAM-02</t>
  </si>
  <si>
    <t>§164.312(d)</t>
  </si>
  <si>
    <t>Joiner-Mover-Leaver process — access provisioned and revoked within SLA</t>
  </si>
  <si>
    <t>IAM-03</t>
  </si>
  <si>
    <t>§164.312(a)(2)(i)</t>
  </si>
  <si>
    <t>Privileged Access Management (PAM) — admin accounts managed, recorded, reviewed</t>
  </si>
  <si>
    <t>IAM-04</t>
  </si>
  <si>
    <t>§164.312(a)(2)(iv)</t>
  </si>
  <si>
    <t>Quarterly user access review — all privileged accounts re-certified</t>
  </si>
  <si>
    <t>IAM-05</t>
  </si>
  <si>
    <t>§164.312(a)(2)(ii)</t>
  </si>
  <si>
    <t>Segregation of duties enforced — financial and security-critical functions separated</t>
  </si>
  <si>
    <t>IAM-06</t>
  </si>
  <si>
    <t>Unique user IDs — no shared accounts permitted for privileged functions</t>
  </si>
  <si>
    <t>IAM-07</t>
  </si>
  <si>
    <t>Password policy — minimum length, complexity, rotation, no reuse</t>
  </si>
  <si>
    <t>IAM-08</t>
  </si>
  <si>
    <t>Automatic session timeout for inactive sessions — 15 minutes for privileged</t>
  </si>
  <si>
    <t>IAM-09</t>
  </si>
  <si>
    <t>§164.312(a)(2)(iii)</t>
  </si>
  <si>
    <t>Data Protection</t>
  </si>
  <si>
    <t>Data classification scheme — all data labelled by sensitivity and regulatory category</t>
  </si>
  <si>
    <t>DP-01</t>
  </si>
  <si>
    <t>Encryption at rest — all regulated data encrypted using AES-256 or equivalent</t>
  </si>
  <si>
    <t>DP-02</t>
  </si>
  <si>
    <t>Art 32(1)(a)</t>
  </si>
  <si>
    <t>§314.4(d)(2)</t>
  </si>
  <si>
    <t>Encryption in transit — TLS 1.2 minimum for all regulated data in transit</t>
  </si>
  <si>
    <t>DP-03</t>
  </si>
  <si>
    <t>§164.312(e)(2)(ii)</t>
  </si>
  <si>
    <t>Data Loss Prevention (DLP) — monitoring and prevention for regulated data exfiltration</t>
  </si>
  <si>
    <t>DP-04</t>
  </si>
  <si>
    <t>§9</t>
  </si>
  <si>
    <t>§314.4(d)</t>
  </si>
  <si>
    <t>Backup and recovery — encrypted backups, tested restoration, offsite/offline copies</t>
  </si>
  <si>
    <t>DP-05</t>
  </si>
  <si>
    <t>Data retention and secure disposal — retention schedule, secure deletion, certificates</t>
  </si>
  <si>
    <t>DP-06</t>
  </si>
  <si>
    <t>Art 5(1)(e)</t>
  </si>
  <si>
    <t>§164.316(b)</t>
  </si>
  <si>
    <t>Key management policy — cryptographic key generation, storage, rotation, and revocation</t>
  </si>
  <si>
    <t>DP-07</t>
  </si>
  <si>
    <t>Data masking / pseudonymisation for non-production environments</t>
  </si>
  <si>
    <t>DP-08</t>
  </si>
  <si>
    <t>Art 25 / Art 4(5)</t>
  </si>
  <si>
    <t>§164.514(b)</t>
  </si>
  <si>
    <t>Records of Processing Activities (ROPA) maintained and current</t>
  </si>
  <si>
    <t>DP-09</t>
  </si>
  <si>
    <t>Art 30</t>
  </si>
  <si>
    <t>Privacy &amp; Data Subject Rights</t>
  </si>
  <si>
    <t>Privacy notice / privacy policy — clear, current, accessible, plain language</t>
  </si>
  <si>
    <t>PRV-01</t>
  </si>
  <si>
    <t>§6</t>
  </si>
  <si>
    <t>Art 13/14</t>
  </si>
  <si>
    <t>§164.520</t>
  </si>
  <si>
    <t>Consent management — lawful basis documented for all data processing activities</t>
  </si>
  <si>
    <t>PRV-02</t>
  </si>
  <si>
    <t>Art 6/7</t>
  </si>
  <si>
    <t>Data Subject Access Request (DSAR) process — responded within statutory deadline</t>
  </si>
  <si>
    <t>PRV-03</t>
  </si>
  <si>
    <t>Art 15</t>
  </si>
  <si>
    <t>§164.524</t>
  </si>
  <si>
    <t>Right to erasure / Right to be forgotten process documented and tested</t>
  </si>
  <si>
    <t>PRV-04</t>
  </si>
  <si>
    <t>Art 17</t>
  </si>
  <si>
    <t>Data portability process — structured, machine-readable format on request</t>
  </si>
  <si>
    <t>PRV-05</t>
  </si>
  <si>
    <t>Art 20</t>
  </si>
  <si>
    <t>Privacy by Design embedded in product and system development lifecycle</t>
  </si>
  <si>
    <t>PRV-06</t>
  </si>
  <si>
    <t>Cross-border data transfer controls — SCCs, adequacy decisions, transfer impact assessment</t>
  </si>
  <si>
    <t>PRV-07</t>
  </si>
  <si>
    <t>§16</t>
  </si>
  <si>
    <t>Art 44-49</t>
  </si>
  <si>
    <t>Data Protection Officer (DPO) appointed where required</t>
  </si>
  <si>
    <t>PRV-08</t>
  </si>
  <si>
    <t>§10</t>
  </si>
  <si>
    <t>Art 37</t>
  </si>
  <si>
    <t>Children's data — enhanced protections and parental consent processes</t>
  </si>
  <si>
    <t>PRV-09</t>
  </si>
  <si>
    <t>§9 COPPA</t>
  </si>
  <si>
    <t>Art 8</t>
  </si>
  <si>
    <t>Vulnerability scanning programme — internal and external, defined cadence</t>
  </si>
  <si>
    <t>VM-01</t>
  </si>
  <si>
    <t>Patch management SLA — Critical 7 days, High 30 days, Medium 90 days</t>
  </si>
  <si>
    <t>VM-02</t>
  </si>
  <si>
    <t>§164.308(a)(5)(ii)(B)</t>
  </si>
  <si>
    <t>Penetration testing — external and internal, minimum annually</t>
  </si>
  <si>
    <t>VM-03</t>
  </si>
  <si>
    <t>§164.308(a)(8)</t>
  </si>
  <si>
    <t>§314.4(g)</t>
  </si>
  <si>
    <t>Security code review / SAST/DAST for software in scope</t>
  </si>
  <si>
    <t>VM-04</t>
  </si>
  <si>
    <t>Software Bill of Materials (SBOM) — inventory of all software components</t>
  </si>
  <si>
    <t>VM-05</t>
  </si>
  <si>
    <t>Art 13/Annex I</t>
  </si>
  <si>
    <t>Coordinated vulnerability disclosure policy — CVD programme published</t>
  </si>
  <si>
    <t>VM-06</t>
  </si>
  <si>
    <t>Secure development lifecycle (SDLC) — security integrated into development process</t>
  </si>
  <si>
    <t>VM-07</t>
  </si>
  <si>
    <t>Secure configuration baselines — CIS Benchmarks or equivalent applied</t>
  </si>
  <si>
    <t>VM-08</t>
  </si>
  <si>
    <t>Network &amp; Endpoint Security</t>
  </si>
  <si>
    <t>Network segmentation — production, development, management networks separated</t>
  </si>
  <si>
    <t>NES-01</t>
  </si>
  <si>
    <t>Firewall and NGFW — perimeter and internal traffic filtering, rules reviewed quarterly</t>
  </si>
  <si>
    <t>NES-02</t>
  </si>
  <si>
    <t>Endpoint Detection and Response (EDR) — deployed on 100% of managed endpoints</t>
  </si>
  <si>
    <t>NES-03</t>
  </si>
  <si>
    <t>Remote access security — VPN with MFA or ZTNA for all remote connections</t>
  </si>
  <si>
    <t>NES-04</t>
  </si>
  <si>
    <t>Mobile device management (MDM) — company and BYOD devices enrolled and managed</t>
  </si>
  <si>
    <t>NES-05</t>
  </si>
  <si>
    <t>Email security — DMARC/SPF/DKIM configured; anti-phishing and malware filtering</t>
  </si>
  <si>
    <t>NES-06</t>
  </si>
  <si>
    <t>Web application firewall (WAF) for internet-facing applications</t>
  </si>
  <si>
    <t>NES-07</t>
  </si>
  <si>
    <t>Security Monitoring</t>
  </si>
  <si>
    <t>SIEM — security information and event management with defined use cases</t>
  </si>
  <si>
    <t>SM-01</t>
  </si>
  <si>
    <t>§164.312(b)</t>
  </si>
  <si>
    <t>24×7 security monitoring — SOC or MSSP with defined alert SLAs</t>
  </si>
  <si>
    <t>SM-02</t>
  </si>
  <si>
    <t>§164.308(a)(6)</t>
  </si>
  <si>
    <t>Audit logging — all access to regulated data and privileged functions logged</t>
  </si>
  <si>
    <t>SM-03</t>
  </si>
  <si>
    <t>Log retention — security logs retained for minimum regulatory period</t>
  </si>
  <si>
    <t>SM-04</t>
  </si>
  <si>
    <t>§8 / CERT-In 180d</t>
  </si>
  <si>
    <t>SOX 7 years</t>
  </si>
  <si>
    <t>Log integrity — logs tamper-evident and protected from modification</t>
  </si>
  <si>
    <t>SM-05</t>
  </si>
  <si>
    <t>SOX §802</t>
  </si>
  <si>
    <t>NTP synchronisation — all systems synchronised to authoritative time source</t>
  </si>
  <si>
    <t>SM-06</t>
  </si>
  <si>
    <t>CERT-In Direction</t>
  </si>
  <si>
    <t>User behaviour analytics (UEBA) — anomalous behaviour detection for privileged users</t>
  </si>
  <si>
    <t>SM-07</t>
  </si>
  <si>
    <t>File integrity monitoring (FIM) — critical system and configuration file changes alerted</t>
  </si>
  <si>
    <t>SM-08</t>
  </si>
  <si>
    <t>§164.312(c)(1)</t>
  </si>
  <si>
    <t>Incident Response</t>
  </si>
  <si>
    <t>Incident response plan — documented, approved, tested via tabletop exercise annually</t>
  </si>
  <si>
    <t>IR-01</t>
  </si>
  <si>
    <t>Art 33</t>
  </si>
  <si>
    <t>§314.4(h)</t>
  </si>
  <si>
    <t>Incident classification — severity matrix P1-P4 with response time SLAs</t>
  </si>
  <si>
    <t>IR-02</t>
  </si>
  <si>
    <t>Regulatory breach notification — CERT-In (6h), DPBOARD, DPA (72h), HHS (60 days), FTC</t>
  </si>
  <si>
    <t>IR-03</t>
  </si>
  <si>
    <t>§10 (72h to DPBOARD)</t>
  </si>
  <si>
    <t>Art 33 (72h)</t>
  </si>
  <si>
    <t>§164.410 (60 days)</t>
  </si>
  <si>
    <t>Customer / data subject breach notification process — drafted templates, activation criteria</t>
  </si>
  <si>
    <t>IR-04</t>
  </si>
  <si>
    <t>Art 34</t>
  </si>
  <si>
    <t>§164.404</t>
  </si>
  <si>
    <t>External IR retainer / forensics capability — specialist support within activation SLA</t>
  </si>
  <si>
    <t>IR-05</t>
  </si>
  <si>
    <t>Post-incident review — lessons learned documented for all P1/P2 incidents</t>
  </si>
  <si>
    <t>IR-06</t>
  </si>
  <si>
    <t>Crisis communication plan — internal staff, clients, regulators, media templates</t>
  </si>
  <si>
    <t>IR-07</t>
  </si>
  <si>
    <t>Art 33/34</t>
  </si>
  <si>
    <t>§164.410</t>
  </si>
  <si>
    <t>Physical Security</t>
  </si>
  <si>
    <t>Physical access controls — data centres and server rooms require authentication</t>
  </si>
  <si>
    <t>PH-01</t>
  </si>
  <si>
    <t>§164.310(a)(1)</t>
  </si>
  <si>
    <t>Visitor management — all visitors logged, escorted, access limited to required areas</t>
  </si>
  <si>
    <t>PH-02</t>
  </si>
  <si>
    <t>§164.310(a)(2)(ii)</t>
  </si>
  <si>
    <t>Clear desk and clear screen policy — regulated data not left visible or unattended</t>
  </si>
  <si>
    <t>PH-03</t>
  </si>
  <si>
    <t>§164.310(b)</t>
  </si>
  <si>
    <t>Secure media disposal — hard drives, removable media destroyed or securely wiped</t>
  </si>
  <si>
    <t>PH-04</t>
  </si>
  <si>
    <t>§164.310(d)(2)(i)</t>
  </si>
  <si>
    <t>Environmental controls — UPS, fire suppression, temperature monitoring for data rooms</t>
  </si>
  <si>
    <t>PH-05</t>
  </si>
  <si>
    <t>§164.310(a)(2)(i)</t>
  </si>
  <si>
    <t>Business Continuity</t>
  </si>
  <si>
    <t>Business Continuity Plan covering all regulated data processing activities</t>
  </si>
  <si>
    <t>BC-01</t>
  </si>
  <si>
    <t>Art 32(1)(c)</t>
  </si>
  <si>
    <t>Disaster Recovery Plan — RTO and RPO defined, tested semi-annually</t>
  </si>
  <si>
    <t>BC-02</t>
  </si>
  <si>
    <t>§164.308(a)(7)(ii)(C)</t>
  </si>
  <si>
    <t>3-2-1 backup strategy — 3 copies, 2 media types, 1 offline/offsite</t>
  </si>
  <si>
    <t>BC-03</t>
  </si>
  <si>
    <t>§164.308(a)(7)(ii)(A)</t>
  </si>
  <si>
    <t>Backup recovery test — full restoration tested quarterly</t>
  </si>
  <si>
    <t>BC-04</t>
  </si>
  <si>
    <t>§164.308(a)(7)(ii)(B)</t>
  </si>
  <si>
    <t>High availability architecture for critical regulated systems</t>
  </si>
  <si>
    <t>BC-05</t>
  </si>
  <si>
    <t>Supply Chain &amp; Third Party</t>
  </si>
  <si>
    <t>Vendor inventory — all suppliers with data or system access catalogued and classified</t>
  </si>
  <si>
    <t>SC-01</t>
  </si>
  <si>
    <t>§164.308(b)</t>
  </si>
  <si>
    <t>Data Processing Agreement (DPA) / Business Associate Agreement (BAA) with all data processors</t>
  </si>
  <si>
    <t>SC-02</t>
  </si>
  <si>
    <t>§164.314(a)(1)</t>
  </si>
  <si>
    <t>Annual security assessment of critical (Tier 1) suppliers</t>
  </si>
  <si>
    <t>SC-03</t>
  </si>
  <si>
    <t>Security clauses in all contracts — breach notification, audit rights, minimum controls</t>
  </si>
  <si>
    <t>SC-04</t>
  </si>
  <si>
    <t>§164.308(b)(4)</t>
  </si>
  <si>
    <t>Software supply chain security — SBOM, component vulnerability tracking</t>
  </si>
  <si>
    <t>SC-05</t>
  </si>
  <si>
    <t>Vendor offboarding — access revoked, data returned/deleted, certificate received</t>
  </si>
  <si>
    <t>SC-06</t>
  </si>
  <si>
    <t>Art 28(3)(g)</t>
  </si>
  <si>
    <t>Change Management &amp; SDLC</t>
  </si>
  <si>
    <t>Change management process — all changes approved, tested, and documented</t>
  </si>
  <si>
    <t>CM-01</t>
  </si>
  <si>
    <t>Production access separation — developers cannot deploy to production without approval</t>
  </si>
  <si>
    <t>CM-02</t>
  </si>
  <si>
    <t>Emergency change process — fast-track approval with post-implementation review</t>
  </si>
  <si>
    <t>CM-03</t>
  </si>
  <si>
    <t>Security in SDLC — security requirements, threat modelling, code review, security testing</t>
  </si>
  <si>
    <t>CM-04</t>
  </si>
  <si>
    <t>Configuration management — authorised baseline configurations maintained and monitored</t>
  </si>
  <si>
    <t>CM-05</t>
  </si>
  <si>
    <t>Financial &amp; Reporting Controls</t>
  </si>
  <si>
    <t>IT General Controls (ITGCs) — access, change management, operations tested annually</t>
  </si>
  <si>
    <t>FC-01</t>
  </si>
  <si>
    <t>§314.4</t>
  </si>
  <si>
    <t>Financial data integrity — controls ensuring accuracy of financial reports</t>
  </si>
  <si>
    <t>FC-02</t>
  </si>
  <si>
    <t>SOX §302/404</t>
  </si>
  <si>
    <t>Application access controls for financial systems — ERP, banking platforms</t>
  </si>
  <si>
    <t>FC-03</t>
  </si>
  <si>
    <t>CEO/CFO certification of financial controls effectiveness</t>
  </si>
  <si>
    <t>FC-04</t>
  </si>
  <si>
    <t>Document retention for financial records — 7 years minimum</t>
  </si>
  <si>
    <t>FC-05</t>
  </si>
  <si>
    <t>Whistleblower protection and anonymous reporting channel</t>
  </si>
  <si>
    <t>FC-06</t>
  </si>
  <si>
    <t>SOX §806</t>
  </si>
  <si>
    <t>Healthcare Specific Controls</t>
  </si>
  <si>
    <t>Workforce clearance — background checks for staff accessing PHI</t>
  </si>
  <si>
    <t>HC-01</t>
  </si>
  <si>
    <t>§164.308(a)(3)(ii)(B)</t>
  </si>
  <si>
    <t>Workstation use and security policy — ePHI access on approved devices only</t>
  </si>
  <si>
    <t>HC-02</t>
  </si>
  <si>
    <t>PHI de-identification — Safe Harbor or Expert Determination method applied</t>
  </si>
  <si>
    <t>HC-03</t>
  </si>
  <si>
    <t>Minimum necessary access — PHI disclosed only to minimum required level</t>
  </si>
  <si>
    <t>HC-04</t>
  </si>
  <si>
    <t>§164.514(d)</t>
  </si>
  <si>
    <t>Patient right of access — PHI provided within 30 days of request</t>
  </si>
  <si>
    <t>HC-05</t>
  </si>
  <si>
    <t>Accounting of disclosures — record of when and to whom PHI was disclosed</t>
  </si>
  <si>
    <t>HC-06</t>
  </si>
  <si>
    <t>§164.528</t>
  </si>
  <si>
    <t>IMPLEMENTATION SUMMARY</t>
  </si>
  <si>
    <t xml:space="preserve">  📋  CRA: EU Cyber Resilience Act</t>
  </si>
  <si>
    <t xml:space="preserve">  Mandatory security requirements for products with digital elements sold in the EU — effective 2027</t>
  </si>
  <si>
    <t xml:space="preserve">  ℹ  This tab contains the detailed CRA framework requirements, key articles/sections, and applicability guidance. Use Tab 2 for the unified control matrix and compliance status tracking.</t>
  </si>
  <si>
    <t>SCOPE &amp; APPLICABILITY</t>
  </si>
  <si>
    <t>Hardware and software products with digital elements placed on the EU market — from connected household appliances to industrial IoT to enterprise software. Excludes: medical devices, motor vehicles, aviation, certain military products.</t>
  </si>
  <si>
    <t>KEY CRA ARTICLES / SECTIONS — REQUIREMENTS AND CONTROLS</t>
  </si>
  <si>
    <t>Ref</t>
  </si>
  <si>
    <t>Article/Section Title</t>
  </si>
  <si>
    <t>Requirement Summary</t>
  </si>
  <si>
    <t>Key Controls Required</t>
  </si>
  <si>
    <t>Implementation Status</t>
  </si>
  <si>
    <t>Notes / Evidence</t>
  </si>
  <si>
    <t>Essential cybersecurity requirements</t>
  </si>
  <si>
    <t>Products must be designed, developed, and produced with appropriate security. Default configurations must be secure. Attack surface must be minimised. No known exploitable vulnerabilities at release.</t>
  </si>
  <si>
    <t>Security by design; vulnerability-free at release; minimal attack surface; secure defaults</t>
  </si>
  <si>
    <t>Art 11</t>
  </si>
  <si>
    <t>Vulnerability handling</t>
  </si>
  <si>
    <t>Manufacturers must handle vulnerabilities throughout the expected product lifetime. Free security updates must be provided. Each vulnerability must be assigned a CVE.</t>
  </si>
  <si>
    <t>CVE assignment; free security updates; coordinated disclosure; lifetime support commitment</t>
  </si>
  <si>
    <t>Art 12</t>
  </si>
  <si>
    <t>Reporting obligations</t>
  </si>
  <si>
    <t>Manufacturers must report actively exploited vulnerabilities and security incidents to ENISA within 24 hours of becoming aware, with full notification within 72 hours.</t>
  </si>
  <si>
    <t>24-hour initial ENISA report; 72-hour final report; incident reporting for each affected product</t>
  </si>
  <si>
    <t>Obligations of manufacturers</t>
  </si>
  <si>
    <t>Conformity assessment; technical documentation; Declaration of Conformity; CE marking; economic operator obligations.</t>
  </si>
  <si>
    <t>CE marking; Declaration of Conformity; technical documentation; authorised representative in EU</t>
  </si>
  <si>
    <t>Obligations of importers/distributors</t>
  </si>
  <si>
    <t>Importers and distributors must verify conformity; not place non-compliant products; notify manufacturers of vulnerabilities; cooperate with surveillance authorities.</t>
  </si>
  <si>
    <t>Conformity verification; supply chain obligations; market surveillance cooperation</t>
  </si>
  <si>
    <t>Coordinated vulnerability disclosure</t>
  </si>
  <si>
    <t>Manufacturers must have and publish a policy for coordinated vulnerability disclosure (CVD). ENISA maintains a single reporting platform.</t>
  </si>
  <si>
    <t>Published CVD policy; coordination with ENISA; single reporting platform</t>
  </si>
  <si>
    <t>Annex I</t>
  </si>
  <si>
    <t>Essential cybersecurity requirements list</t>
  </si>
  <si>
    <t>No exploitable vulnerabilities at delivery; secure configuration; minimal attack surface; protection against unauthorised access; data protection; CIA protection; availability protection; software update mechanism; minimal data collection.</t>
  </si>
  <si>
    <t>9 categories of essential requirements for product security; applies to both process and product</t>
  </si>
  <si>
    <t>⚠  PENALTIES &amp; ENFORCEMENT — CRA</t>
  </si>
  <si>
    <t>Market surveillance authority can withdraw product from market. Administrative fines up to €15,000,000 or 2.5% of global annual turnover (whichever is higher) for non-compliance with essential requirements. Up to €10M or 2% for other obligations.</t>
  </si>
  <si>
    <t xml:space="preserve">  📋  DPDPA: Digital Personal Data Protection Act 2023 (India)</t>
  </si>
  <si>
    <t xml:space="preserve">  India's comprehensive data protection law — applicable to all entities processing digital personal data in India or targeting Indian residents</t>
  </si>
  <si>
    <t xml:space="preserve">  ℹ  This tab contains the detailed DPDPA framework requirements, key articles/sections, and applicability guidance. Use Tab 2 for the unified control matrix and compliance status tracking.</t>
  </si>
  <si>
    <t>Processing of digital personal data within India; processing outside India if connected with offering goods/services to Indian residents. Covers both automated and digitised physical data. Excludes personal data processed for personal/domestic purposes, anonymised data, and certain government processing.</t>
  </si>
  <si>
    <t>KEY DPDPA ARTICLES / SECTIONS — REQUIREMENTS AND CONTROLS</t>
  </si>
  <si>
    <t>§5</t>
  </si>
  <si>
    <t>Grounds for processing personal data</t>
  </si>
  <si>
    <t>Personal data may only be processed for a lawful purpose on the basis of consent OR legitimate use (8 defined categories including contractual necessity, medical emergency, state functions).</t>
  </si>
  <si>
    <t>Documented lawful basis for each processing activity; consent records; legitimate use criteria documented</t>
  </si>
  <si>
    <t>Consent requirements</t>
  </si>
  <si>
    <t>Consent must be free, specific, informed, unconditional, and unambiguous. Consent request must be clear and plain language. Right to withdraw consent at any time. Notice required before consent.</t>
  </si>
  <si>
    <t>Consent management platform; granular consent; withdrawal mechanism; plain language notices</t>
  </si>
  <si>
    <t>Notice requirements</t>
  </si>
  <si>
    <t>Data Fiduciary must provide notice of: personal data collected, purpose, rights of Data Principal, complaint process. Notice must be clear and available before processing.</t>
  </si>
  <si>
    <t>Privacy notice; pre-collection notice; rights information; complaint mechanism</t>
  </si>
  <si>
    <t>General obligations of Data Fiduciary</t>
  </si>
  <si>
    <t>Completeness, accuracy, and consistency of personal data. Data security safeguards proportionate to risk. Breach notification to DPBOARD and Data Principal. Data retention — erase when purpose is served.</t>
  </si>
  <si>
    <t>Data quality controls; security programme; breach notification within 72 hours to DPBOARD; retention and erasure</t>
  </si>
  <si>
    <t>Processing of children's data</t>
  </si>
  <si>
    <t>Verifiable consent of parent/guardian required for children under 18. Cannot process data likely to have detrimental effect on child. No tracking, behavioural monitoring, or targeted advertising to children.</t>
  </si>
  <si>
    <t>Age verification; parental consent; no profiling of children; special safeguards</t>
  </si>
  <si>
    <t>Significant Data Fiduciaries</t>
  </si>
  <si>
    <t>Additional obligations for SDFs designated by Government: DPO appointment; Data Auditor; algorithmic accountability; DPIA. Classification based on volume, sensitivity, and national security risk.</t>
  </si>
  <si>
    <t>DPO appointment; Data Auditor engagement; DPIA; algorithmic accountability report</t>
  </si>
  <si>
    <t>Rights of Data Principals</t>
  </si>
  <si>
    <t>Right to access; right to correction and erasure; right to grievance redressal; right to nominate (in event of death/incapacity). Response within prescribed timelines.</t>
  </si>
  <si>
    <t>DSAR process; correction/erasure within timeline; grievance mechanism; nomination register</t>
  </si>
  <si>
    <t>Processing by Data Processor</t>
  </si>
  <si>
    <t>Data Processor processes only on instructions of Data Fiduciary. Adequate security safeguards. Sub-processor obligations. Assistance for compliance.</t>
  </si>
  <si>
    <t>DPA with all processors; instructions documented; sub-processor controls; audit rights</t>
  </si>
  <si>
    <t>Transfer of personal data outside India</t>
  </si>
  <si>
    <t>Transfer permitted to countries notified by Government. Pending notification: no restrictions on transfers currently but Blacklist mechanism exists.</t>
  </si>
  <si>
    <t>Track transfer destinations; monitor Government whitelist/blacklist; transfer impact assessments</t>
  </si>
  <si>
    <t>⚠  PENALTIES &amp; ENFORCEMENT — DPDPA</t>
  </si>
  <si>
    <t>Data Protection Board of India can impose financial penalties. Non-fulfilment of obligations regarding children's data: up to ₹200 Cr. Failure to implement security safeguards: up to ₹250 Cr. Breach of other provisions: up to ₹50 Cr.</t>
  </si>
  <si>
    <t xml:space="preserve">  📋  GDPR: General Data Protection Regulation (EU) 2016/679</t>
  </si>
  <si>
    <t xml:space="preserve">  The world's strongest privacy law — extraterritorial reach covering all processing of EU/EEA resident personal data</t>
  </si>
  <si>
    <t xml:space="preserve">  ℹ  This tab contains the detailed GDPR framework requirements, key articles/sections, and applicability guidance. Use Tab 2 for the unified control matrix and compliance status tracking.</t>
  </si>
  <si>
    <t>Applies to: (1) Organisations established in the EU/EEA regardless of where data is processed; (2) Non-EU organisations that process EU residents' data when offering goods/services to EU residents OR monitoring EU residents' behaviour. Covers all personal data (any information relating to an identified or identifiable natural person).</t>
  </si>
  <si>
    <t>KEY GDPR ARTICLES / SECTIONS — REQUIREMENTS AND CONTROLS</t>
  </si>
  <si>
    <t>Art 5</t>
  </si>
  <si>
    <t>Principles of data processing</t>
  </si>
  <si>
    <t>Lawfulness, fairness, transparency | Purpose limitation | Data minimisation | Accuracy | Storage limitation | Integrity and confidentiality | Accountability (controller must demonstrate compliance).</t>
  </si>
  <si>
    <t>Document all processing activities; privacy by design; data minimisation in system design; retention schedules</t>
  </si>
  <si>
    <t>Art 6/7/9</t>
  </si>
  <si>
    <t>Lawful basis and consent</t>
  </si>
  <si>
    <t>Processing requires one of 6 lawful bases. Consent: freely given, specific, informed, unambiguous, withdrawable, separate. Special category data requires explicit consent or Article 9 exception.</t>
  </si>
  <si>
    <t>Lawful basis assessment per processing activity; consent management; special category data policy</t>
  </si>
  <si>
    <t>Art 12-22</t>
  </si>
  <si>
    <t>Data subject rights</t>
  </si>
  <si>
    <t>Access (Art 15); Rectification (Art 16); Erasure (Art 17); Restriction (Art 18); Portability (Art 20); Objection (Art 21); no automated decisions (Art 22). Respond within 1 month.</t>
  </si>
  <si>
    <t>DSAR process; rights response within 30 days; portability format; automated decision policy</t>
  </si>
  <si>
    <t>Art 24-26</t>
  </si>
  <si>
    <t>Controller obligations</t>
  </si>
  <si>
    <t>Data protection by design and default; joint controller agreements; appropriate technical and organisational measures.</t>
  </si>
  <si>
    <t>Privacy by design documentation; joint controller agreements; measures proportionate to risk</t>
  </si>
  <si>
    <t>Processor requirements</t>
  </si>
  <si>
    <t>Documented instructions; Data Processing Agreement mandatory; processor only processes on controller's documented instructions; sub-processor controls.</t>
  </si>
  <si>
    <t>DPA with every processor; sub-processor approval process; processor audit rights</t>
  </si>
  <si>
    <t>Records of processing activities</t>
  </si>
  <si>
    <t>ROPA required for organisations &gt;250 employees or high-risk processing. Contents: purposes, data categories, recipients, transfers, retention, security measures.</t>
  </si>
  <si>
    <t>ROPA maintained and current; reviewed annually; all processing activities documented</t>
  </si>
  <si>
    <t>Security of processing</t>
  </si>
  <si>
    <t>Appropriate technical and organisational measures — pseudonymisation, encryption, CIA, restoration capability, regular testing. Risk-proportionate.</t>
  </si>
  <si>
    <t>Security risk assessment; encryption; access controls; incident response; regular security testing</t>
  </si>
  <si>
    <t>Breach notification</t>
  </si>
  <si>
    <t>Article 33: notify supervisory authority within 72 hours of becoming aware. Article 34: notify data subjects without undue delay for high-risk breaches.</t>
  </si>
  <si>
    <t>72-hour DPA notification; data subject notification process; breach register; risk assessment</t>
  </si>
  <si>
    <t>Art 35-36</t>
  </si>
  <si>
    <t>Data Protection Impact Assessment</t>
  </si>
  <si>
    <t>Required for high-risk processing: systematic evaluation of natural persons; large-scale special category data; systematic monitoring of public areas.</t>
  </si>
  <si>
    <t>DPIA trigger criteria; DPIA process; prior consultation with supervisory authority if residual risk high</t>
  </si>
  <si>
    <t>Art 37-39</t>
  </si>
  <si>
    <t>Data Protection Officer</t>
  </si>
  <si>
    <t>Mandatory for: public authorities; core activities involving large-scale systematic monitoring; large-scale special category data processing.</t>
  </si>
  <si>
    <t>DPO appointment if required; DPO role, resources, and independence; DPO contact details published</t>
  </si>
  <si>
    <t>⚠  PENALTIES &amp; ENFORCEMENT — GDPR</t>
  </si>
  <si>
    <t>Two tiers: Tier 1 — up to €10M or 2% global annual turnover for administrative obligations (ROPA, DPO, DPIA). Tier 2 — up to €20M or 4% global annual turnover for core principles, rights, transfers. EU DPAs have additional corrective powers including processing bans.</t>
  </si>
  <si>
    <t xml:space="preserve">  📋  HIPAA: Health Insurance Portability and Accountability Act (USA)</t>
  </si>
  <si>
    <t xml:space="preserve">  US healthcare privacy and security law protecting Protected Health Information (PHI) for covered entities and business associates</t>
  </si>
  <si>
    <t xml:space="preserve">  ℹ  This tab contains the detailed HIPAA framework requirements, key articles/sections, and applicability guidance. Use Tab 2 for the unified control matrix and compliance status tracking.</t>
  </si>
  <si>
    <t>Covered Entities: healthcare providers who transmit PHI electronically, health plans, healthcare clearinghouses. Business Associates: organisations that create, receive, maintain, or transmit PHI on behalf of covered entities. PHI includes any individually identifiable health information in any medium (electronic, paper, oral).</t>
  </si>
  <si>
    <t>KEY HIPAA ARTICLES / SECTIONS — REQUIREMENTS AND CONTROLS</t>
  </si>
  <si>
    <t>§164.306</t>
  </si>
  <si>
    <t>Security Rule general requirements</t>
  </si>
  <si>
    <t>Covered entities must protect ePHI confidentiality, integrity, and availability; protect against reasonably anticipated threats; protect against reasonably anticipated impermissible uses; ensure workforce compliance.</t>
  </si>
  <si>
    <t>Information security programme for ePHI; risk analysis and management; workforce training and compliance</t>
  </si>
  <si>
    <t>§164.308</t>
  </si>
  <si>
    <t>Administrative safeguards</t>
  </si>
  <si>
    <t>Security Officer designation; workforce training; information access management; security awareness; security incident procedures; contingency plan; evaluation; business associate contracts.</t>
  </si>
  <si>
    <t>Security Officer; annual risk analysis; workforce training; access management; IR procedures; BAAs</t>
  </si>
  <si>
    <t>§164.310</t>
  </si>
  <si>
    <t>Physical safeguards</t>
  </si>
  <si>
    <t>Facility access controls; workstation use policy; workstation security; device and media controls.</t>
  </si>
  <si>
    <t>Facility access controls; workstation policy; device encryption; media disposal procedures</t>
  </si>
  <si>
    <t>§164.312</t>
  </si>
  <si>
    <t>Technical safeguards</t>
  </si>
  <si>
    <t>Access controls (unique user ID, emergency access, automatic logoff, encryption); audit controls; integrity controls; transmission security.</t>
  </si>
  <si>
    <t>Unique IDs; MFA; auto-logoff; encryption at rest and in transit; audit logging; integrity verification</t>
  </si>
  <si>
    <t>§164.314</t>
  </si>
  <si>
    <t>Organisational requirements</t>
  </si>
  <si>
    <t>Business Associate Agreements mandatory; group health plan requirements.</t>
  </si>
  <si>
    <t>BAA with all business associates; BAA minimum required elements; subcontractor BAAs</t>
  </si>
  <si>
    <t>§164.404/406/408/410</t>
  </si>
  <si>
    <t>Covered entity notifies affected individuals within 60 days; HHS notification; media notification for &gt;500 affected. BA notifies covered entity within 60 days.</t>
  </si>
  <si>
    <t>60-day notification to HHS and individuals; BA-to-CE notification; media notification if &gt;500 in state</t>
  </si>
  <si>
    <t>Notice of Privacy Practices</t>
  </si>
  <si>
    <t>Provide NPP to patients at first service delivery; post on website; include all required elements; revise and redistribute when practices change materially.</t>
  </si>
  <si>
    <t>Current NPP; website posting; distribution records; material change process</t>
  </si>
  <si>
    <t>Access of individuals to PHI</t>
  </si>
  <si>
    <t>Right of access within 30 days; must provide copy in requested format; fee limitation; electronic access required.</t>
  </si>
  <si>
    <t>PHI access request process; 30-day response; electronic access capability; fee schedule</t>
  </si>
  <si>
    <t>⚠  PENALTIES &amp; ENFORCEMENT — HIPAA</t>
  </si>
  <si>
    <t>Civil penalties: $100-$50,000 per violation, up to $1,935,170 per category per year. Categories: (1) Unaware — $100-$50K; (2) Reasonable cause — $1K-$50K; (3) Willful neglect corrected — $10K-$50K; (4) Willful neglect not corrected — $50K. Criminal: up to 10 years imprisonment for knowing violations.</t>
  </si>
  <si>
    <t xml:space="preserve">  📋  GLBA: Gramm-Leach-Bliley Act / FTC Safeguards Rule (USA)</t>
  </si>
  <si>
    <t xml:space="preserve">  US financial privacy and data security law — applies to financial institutions and their service providers</t>
  </si>
  <si>
    <t xml:space="preserve">  ℹ  This tab contains the detailed GLBA framework requirements, key articles/sections, and applicability guidance. Use Tab 2 for the unified control matrix and compliance status tracking.</t>
  </si>
  <si>
    <t>Financial institutions: includes banks, savings associations, credit unions, insurance companies, securities broker-dealers, mortgage lenders and brokers, credit card companies, payday lenders, tax preparation firms, auto dealerships (finance), travel agencies (financial). Non-public personal information (NPI) of customers is the protected data.</t>
  </si>
  <si>
    <t>KEY GLBA ARTICLES / SECTIONS — REQUIREMENTS AND CONTROLS</t>
  </si>
  <si>
    <t>Qualified Individual / Security Programme</t>
  </si>
  <si>
    <t>Designate a qualified individual to implement and supervise the information security programme. Report to board or equivalent governing body at least annually.</t>
  </si>
  <si>
    <t>Designated CISO or qualified individual; annual board reporting on security programme effectiveness</t>
  </si>
  <si>
    <t>Identify and assess foreseeable risks to security, confidentiality, and integrity of customer information. Assess internal and external risks in each relevant area.</t>
  </si>
  <si>
    <t>Annual risk assessment; all areas covering employee training, information systems, and incident detection</t>
  </si>
  <si>
    <t>Safeguards / Controls</t>
  </si>
  <si>
    <t>16 specific safeguard categories: access controls; data inventory and classification; encryption; secure development practices; authentication; disposal; change management; testing; monitoring; incident response; third-party oversight; physical security.</t>
  </si>
  <si>
    <t>Implement all 16 safeguard categories; particularly: MFA for remote access, encryption of NPI, access controls</t>
  </si>
  <si>
    <t>Testing</t>
  </si>
  <si>
    <t>Continuous monitoring OR annual penetration testing and semi-annual vulnerability assessments.</t>
  </si>
  <si>
    <t>Annual penetration test OR continuous monitoring; semi-annual vulnerability assessments</t>
  </si>
  <si>
    <t>Training</t>
  </si>
  <si>
    <t>Provide security awareness training for all personnel with access to customer information; training updated as threats change.</t>
  </si>
  <si>
    <t>Annual security awareness training; update for new threats; training records maintained</t>
  </si>
  <si>
    <t>Oversight of service providers</t>
  </si>
  <si>
    <t>Select and retain service providers that maintain appropriate safeguards. Require contractual protections. Periodically assess service providers based on risk.</t>
  </si>
  <si>
    <t>Vendor security assessment; contractual security requirements; periodic reassessment</t>
  </si>
  <si>
    <t>Breach response</t>
  </si>
  <si>
    <t>Establish incident response plan; test at least annually; address goals, internal processes, roles, communications, remediation, and documentation.</t>
  </si>
  <si>
    <t>Documented IR plan; annual test; post-incident review; FTC notification for &gt;500 customers</t>
  </si>
  <si>
    <t>Periodic review and adjustment</t>
  </si>
  <si>
    <t>Evaluate and adjust the information security programme in light of: risk assessment results; testing results; material changes to operations; circumstances; threats.</t>
  </si>
  <si>
    <t>Annual programme review; update for material changes; board reporting; lessons learned integration</t>
  </si>
  <si>
    <t>⚠  PENALTIES &amp; ENFORCEMENT — GLBA</t>
  </si>
  <si>
    <t>FTC can impose civil penalties: up to $100,000 per violation for financial institutions; up to $10,000 per day for individuals. State banking regulators can impose additional penalties. No private right of action. Criminal penalties for knowing disclosure of NPI: up to $10,000 fine and/or 5 years imprisonment.</t>
  </si>
  <si>
    <t xml:space="preserve">  📋  SOX: Sarbanes-Oxley Act 2002 (USA)</t>
  </si>
  <si>
    <t xml:space="preserve">  US financial reporting integrity law — IT General Controls are critical to SOX compliance for all public companies</t>
  </si>
  <si>
    <t xml:space="preserve">  ℹ  This tab contains the detailed SOX framework requirements, key articles/sections, and applicability guidance. Use Tab 2 for the unified control matrix and compliance status tracking.</t>
  </si>
  <si>
    <t>All companies with securities listed on US exchanges; all wholly-owned subsidiaries of US-listed companies; foreign private issuers listed in the US (Section 404 requires attestation on internal controls over financial reporting — ICFR). Applies to financial reporting systems, IT systems that support financial processes, and any system that can affect the accuracy of financial statements.</t>
  </si>
  <si>
    <t>KEY SOX ARTICLES / SECTIONS — REQUIREMENTS AND CONTROLS</t>
  </si>
  <si>
    <t>Corporate responsibility for financial reports</t>
  </si>
  <si>
    <t>CEO and CFO must certify: financial statements are accurate; internal controls have been evaluated; material weaknesses disclosed. Civil and criminal liability for false certifications.</t>
  </si>
  <si>
    <t>CEO/CFO certification process; quarterly evaluation of disclosure controls; material weakness identification and disclosure</t>
  </si>
  <si>
    <t>Management assessment of internal controls</t>
  </si>
  <si>
    <t>Management must assess and report on effectiveness of ICFR. External auditor must attest to management's assessment. Uses COSO or COBIT framework.</t>
  </si>
  <si>
    <t>COSO-based control framework; annual management assessment; external auditor attestation (SOX 404(b) for accelerated filers)</t>
  </si>
  <si>
    <t>ITGC — Access Controls</t>
  </si>
  <si>
    <t>User access management for financial systems</t>
  </si>
  <si>
    <t>Controls over who can access financial systems, what they can do, and ensuring segregation of duties between conflicting functions (e.g., AP entry vs AP approval).</t>
  </si>
  <si>
    <t>Role-based access; SoD controls in ERP; quarterly access reviews; privileged access monitoring</t>
  </si>
  <si>
    <t>ITGC — Change Management</t>
  </si>
  <si>
    <t>Change management for financial systems</t>
  </si>
  <si>
    <t>All changes to systems supporting financial reporting must be authorised, tested, and documented. Emergency changes require post-implementation review. Developers cannot promote to production.</t>
  </si>
  <si>
    <t>Change approval board; test environment separation; developer access restriction to production; change documentation</t>
  </si>
  <si>
    <t>ITGC — Computer Operations</t>
  </si>
  <si>
    <t>Operations controls for financial systems</t>
  </si>
  <si>
    <t>Backup and recovery; job scheduling; system availability; incident management; capacity management for financial systems.</t>
  </si>
  <si>
    <t>Backup testing; job monitoring; availability SLAs; incident escalation for financial system outages</t>
  </si>
  <si>
    <t>ITGC — Systems Development</t>
  </si>
  <si>
    <t>Systems development and acquisition controls</t>
  </si>
  <si>
    <t>Feasibility, design review, testing, user acceptance, and migration controls for new or changed financial systems.</t>
  </si>
  <si>
    <t>SDLC controls; UAT sign-off; parallel processing; cutover controls; data migration validation</t>
  </si>
  <si>
    <t>SOX §802/806</t>
  </si>
  <si>
    <t>Criminal provisions</t>
  </si>
  <si>
    <t>§802: Criminal penalties for altering, destroying, or falsifying records relevant to federal investigation. §806: Whistleblower protections for employees reporting violations.</t>
  </si>
  <si>
    <t>Document retention programme — 7 years; electronic records management; whistleblower hotline; anti-retaliation policy</t>
  </si>
  <si>
    <t>PCAOB AS5</t>
  </si>
  <si>
    <t>Auditing standard for ICFR</t>
  </si>
  <si>
    <t>External auditors use PCAOB AS5 for integrated audit of financial statements and ICFR. Risk-based approach; top-down; entity-level controls; significant accounts.</t>
  </si>
  <si>
    <t>Align internal controls documentation to AS5; top-down risk assessment; entity-level controls; control testing evidence</t>
  </si>
  <si>
    <t>⚠  PENALTIES &amp; ENFORCEMENT — SOX</t>
  </si>
  <si>
    <t>Criminal: CEO/CFO false certification — up to $1M fine and 10 years; knowing violation up to $5M and 20 years. SEC: civil enforcement; delisting. External auditors: up to $25M fine for firm; individual debarment. No maximum civil penalty for securities fraud related violations.</t>
  </si>
  <si>
    <t xml:space="preserve">  ⚡  COMPLIANCE GAP ASSESSMENT &amp; REMEDIATION TRACKER</t>
  </si>
  <si>
    <t xml:space="preserve">  Identify gaps by framework, prioritise remediation actions, assign owners and deadlines. Auto-summarises by framework.</t>
  </si>
  <si>
    <t xml:space="preserve">  ℹ  Step 1: Select applicable frameworks. Step 2: Set Compliance Status per framework per control domain. Step 3: Assign Owner and Target Date for each gap. Summary auto-calculates by framework.</t>
  </si>
  <si>
    <t>Total Controls</t>
  </si>
  <si>
    <t>CRA
Applicable</t>
  </si>
  <si>
    <t>DPDPA
Applicable</t>
  </si>
  <si>
    <t>GDPR
Applicable</t>
  </si>
  <si>
    <t>HIPAA
Applicable</t>
  </si>
  <si>
    <t>GLBA
Applicable</t>
  </si>
  <si>
    <t>SOX
Applicable</t>
  </si>
  <si>
    <t>Applicable
Frameworks</t>
  </si>
  <si>
    <t>Gap Priority</t>
  </si>
  <si>
    <t>Remediation Owner</t>
  </si>
  <si>
    <t>Target Date</t>
  </si>
  <si>
    <t>Remediation Notes</t>
  </si>
  <si>
    <t xml:space="preserve">  📊  MULTI-FRAMEWORK COMPLIANCE DASHBOARD</t>
  </si>
  <si>
    <t xml:space="preserve">  Executive summary of compliance status across all 6 frameworks. Pulls from Tab 2 implementation status.</t>
  </si>
  <si>
    <t xml:space="preserve">  ℹ  Update implementation status in Tab 2. This dashboard reflects the aggregated compliance position per framework for executive and board reporting.</t>
  </si>
  <si>
    <t>FRAMEWORK COMPLIANCE SCORECARD</t>
  </si>
  <si>
    <t>Applicable Controls</t>
  </si>
  <si>
    <t>Implemented</t>
  </si>
  <si>
    <t>In Progress</t>
  </si>
  <si>
    <t>% Complete
(enter manually)</t>
  </si>
  <si>
    <t>Compliance
RAG Status</t>
  </si>
  <si>
    <t>CRA — EU Cyber Resilience Act...</t>
  </si>
  <si>
    <t>0</t>
  </si>
  <si>
    <t>69</t>
  </si>
  <si>
    <t>0%</t>
  </si>
  <si>
    <t>⚪ Not Assessed</t>
  </si>
  <si>
    <t>DPDPA — Digital Personal Data Protection Act 202...</t>
  </si>
  <si>
    <t>49</t>
  </si>
  <si>
    <t>GDPR — General Data Protection Regulation (EU) ...</t>
  </si>
  <si>
    <t>86</t>
  </si>
  <si>
    <t>HIPAA — Health Insurance Portability and Account...</t>
  </si>
  <si>
    <t>85</t>
  </si>
  <si>
    <t>GLBA — Gramm-Leach-Bliley Act / FTC Safeguards ...</t>
  </si>
  <si>
    <t>71</t>
  </si>
  <si>
    <t>SOX — Sarbanes-Oxley Act 2002 (USA)...</t>
  </si>
  <si>
    <t>66</t>
  </si>
  <si>
    <t>PENALTY EXPOSURE SUMMARY — MAXIMUM PER FRAMEWORK</t>
  </si>
  <si>
    <t>Maximum Penalty</t>
  </si>
  <si>
    <t>Enforcement Body</t>
  </si>
  <si>
    <t>Type of Penalty</t>
  </si>
  <si>
    <t>Applicable
to Organisation?</t>
  </si>
  <si>
    <t>Estimated Exposure</t>
  </si>
  <si>
    <t>Priority</t>
  </si>
  <si>
    <t>€15M or 2.5% global turnover</t>
  </si>
  <si>
    <t>EU Market Surveillance Authorities</t>
  </si>
  <si>
    <t>Administrative fine + product recall</t>
  </si>
  <si>
    <t>Assess</t>
  </si>
  <si>
    <t>₹250 Crore per violation</t>
  </si>
  <si>
    <t>Data Protection Board of India (DPBOARD)</t>
  </si>
  <si>
    <t>Financial penalty + processing suspension</t>
  </si>
  <si>
    <t>€20M or 4% global annual turnover</t>
  </si>
  <si>
    <t>EU Data Protection Authorities / EDPB</t>
  </si>
  <si>
    <t>Administrative fine + processing ban</t>
  </si>
  <si>
    <t>USD $1.9M per category per year</t>
  </si>
  <si>
    <t>HHS Office for Civil Rights (OCR)</t>
  </si>
  <si>
    <t>Civil monetary penalty + corrective action plan</t>
  </si>
  <si>
    <t>USD $100K per violation</t>
  </si>
  <si>
    <t>FTC + Banking Regulators</t>
  </si>
  <si>
    <t>Civil penalty + enforcement action</t>
  </si>
  <si>
    <t>USD $25M (firm) + criminal prosecution</t>
  </si>
  <si>
    <t>SEC / PCAOB / DOJ</t>
  </si>
  <si>
    <t>Criminal prosecution + civil sanctions + delisting</t>
  </si>
  <si>
    <t>UNIVERSAL PRIORITY CONTROLS — Implement these first: they satisfy requirements across ALL 6 frameworks simultaneously</t>
  </si>
  <si>
    <t>Control</t>
  </si>
  <si>
    <t>Frameworks Satisfied</t>
  </si>
  <si>
    <t>Why Priority</t>
  </si>
  <si>
    <t>Status</t>
  </si>
  <si>
    <t>Owner</t>
  </si>
  <si>
    <t>MFA on all privileged and remote access</t>
  </si>
  <si>
    <t>CRA+DPDPA+GDPR+HIPAA+GLBA+SOX</t>
  </si>
  <si>
    <t>Highest ROI — eliminates primary attack vector across all frameworks</t>
  </si>
  <si>
    <t>Audit logging for all access to regulated data</t>
  </si>
  <si>
    <t>Evidence requirement for all 6 frameworks; foundational for forensics and compliance</t>
  </si>
  <si>
    <t>Encryption at rest for all regulated data</t>
  </si>
  <si>
    <t>Mandatory or strongly recommended by all frameworks; mitigates breach notification obligations</t>
  </si>
  <si>
    <t>Incident response plan — documented and tested</t>
  </si>
  <si>
    <t>Mandatory notification obligations in all frameworks; IR plan is the pre-condition</t>
  </si>
  <si>
    <t>Risk assessment — annual, covering all in-scope systems</t>
  </si>
  <si>
    <t>Foundation for proportionate controls; required by all frameworks to demonstrate compliance</t>
  </si>
  <si>
    <t>SC-01/02</t>
  </si>
  <si>
    <t>Vendor inventory + DPA/BAA with all data processors</t>
  </si>
  <si>
    <t>DPDPA+GDPR+HIPAA+GLBA</t>
  </si>
  <si>
    <t>Required by 4 of 6 frameworks; contractual risk transfer and supply chain protection</t>
  </si>
  <si>
    <t>Log retention — meeting longest applicable requirement</t>
  </si>
  <si>
    <t>CERT-In: 180 days; HIPAA: 6 years; SOX: 7 years — implement the maximum</t>
  </si>
  <si>
    <t>Quarterly access review for all privileged accounts</t>
  </si>
  <si>
    <t>User access management is a core ITGC and privacy control across all frameworks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</si>
</sst>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1"/>
      <color theme="1"/>
      <name val="Calibri"/>
      <family val="2"/>
      <scheme val="minor"/>
    </font>
    <font>
      <b/>
      <sz val="15"/>
      <color rgb="FFFFFFFF"/>
      <name val="Arial"/>
    </font>
    <font>
      <i/>
      <sz val="9"/>
      <color rgb="FF7F7F7F"/>
      <name val="Arial"/>
    </font>
    <font>
      <i/>
      <sz val="9"/>
      <color rgb="FF595959"/>
      <name val="Arial"/>
    </font>
    <font>
      <b/>
      <sz val="9"/>
      <color rgb="FFFFFFFF"/>
      <name val="Arial"/>
    </font>
    <font>
      <b/>
      <sz val="10"/>
      <color rgb="FF4A235A"/>
      <name val="Arial"/>
    </font>
    <font>
      <b/>
      <sz val="14"/>
      <color rgb="FF4A235A"/>
      <name val="Arial"/>
    </font>
    <font>
      <sz val="9"/>
      <color rgb="FF1A1A2E"/>
      <name val="Arial"/>
    </font>
    <font>
      <b/>
      <sz val="9"/>
      <color rgb="FF8B1A1A"/>
      <name val="Arial"/>
    </font>
    <font>
      <sz val="9"/>
      <color rgb="FF375623"/>
      <name val="Arial"/>
    </font>
    <font>
      <b/>
      <sz val="10"/>
      <color rgb="FF1A5276"/>
      <name val="Arial"/>
    </font>
    <font>
      <b/>
      <sz val="14"/>
      <color rgb="FF1A5276"/>
      <name val="Arial"/>
    </font>
    <font>
      <b/>
      <sz val="10"/>
      <color rgb="FF0B6E4F"/>
      <name val="Arial"/>
    </font>
    <font>
      <b/>
      <sz val="14"/>
      <color rgb="FF0B6E4F"/>
      <name val="Arial"/>
    </font>
    <font>
      <b/>
      <sz val="10"/>
      <color rgb="FF7D3C98"/>
      <name val="Arial"/>
    </font>
    <font>
      <b/>
      <sz val="14"/>
      <color rgb="FF7D3C98"/>
      <name val="Arial"/>
    </font>
    <font>
      <b/>
      <sz val="10"/>
      <color rgb="FFB7770D"/>
      <name val="Arial"/>
    </font>
    <font>
      <b/>
      <sz val="14"/>
      <color rgb="FFB7770D"/>
      <name val="Arial"/>
    </font>
    <font>
      <b/>
      <sz val="10"/>
      <color rgb="FF922B21"/>
      <name val="Arial"/>
    </font>
    <font>
      <b/>
      <sz val="14"/>
      <color rgb="FF922B21"/>
      <name val="Arial"/>
    </font>
    <font>
      <b/>
      <i/>
      <sz val="10"/>
      <color rgb="FF1F3864"/>
      <name val="Arial"/>
    </font>
    <font>
      <b/>
      <sz val="11"/>
      <color rgb="FFFFFFFF"/>
      <name val="Arial"/>
    </font>
    <font>
      <b/>
      <sz val="9"/>
      <color rgb="FF1F3864"/>
      <name val="Arial"/>
    </font>
    <font>
      <b/>
      <sz val="11"/>
      <color rgb="FF276221"/>
      <name val="Arial"/>
    </font>
    <font>
      <b/>
      <sz val="11"/>
      <color rgb="FF1A1A2E"/>
      <name val="Arial"/>
    </font>
    <font>
      <b/>
      <sz val="10"/>
      <color rgb="FFFFFFFF"/>
      <name val="Arial"/>
    </font>
    <font>
      <b/>
      <sz val="9"/>
      <color rgb="FF1A1A2E"/>
      <name val="Arial"/>
    </font>
    <font>
      <b/>
      <sz val="9"/>
      <color rgb="FF7030A0"/>
      <name val="Arial"/>
    </font>
    <font>
      <b/>
      <sz val="11"/>
      <color rgb="FF4A235A"/>
      <name val="Arial"/>
    </font>
    <font>
      <b/>
      <sz val="11"/>
      <color rgb="FF1A5276"/>
      <name val="Arial"/>
    </font>
    <font>
      <b/>
      <sz val="11"/>
      <color rgb="FF0B6E4F"/>
      <name val="Arial"/>
    </font>
    <font>
      <b/>
      <sz val="11"/>
      <color rgb="FF7D3C98"/>
      <name val="Arial"/>
    </font>
    <font>
      <b/>
      <sz val="11"/>
      <color rgb="FFB7770D"/>
      <name val="Arial"/>
    </font>
    <font>
      <b/>
      <sz val="11"/>
      <color rgb="FF922B21"/>
      <name val="Arial"/>
    </font>
    <font>
      <sz val="8"/>
      <color rgb="FF595959"/>
      <name val="Arial"/>
    </font>
    <font>
      <b/>
      <sz val="9"/>
      <color rgb="FF375623"/>
      <name val="Arial"/>
    </font>
    <font>
      <sz val="11"/>
      <color rgb="FF999999"/>
      <name val="Arial"/>
    </font>
    <font>
      <b/>
      <sz val="9"/>
      <color rgb="FF2E74B5"/>
      <name val="Arial"/>
    </font>
    <font>
      <b/>
      <sz val="9"/>
      <color rgb="FF1F7D78"/>
      <name val="Arial"/>
    </font>
    <font>
      <b/>
      <sz val="9"/>
      <color rgb="FFC75000"/>
      <name val="Arial"/>
    </font>
    <font>
      <b/>
      <sz val="9"/>
      <color rgb="FF595959"/>
      <name val="Arial"/>
    </font>
    <font>
      <b/>
      <sz val="9"/>
      <color rgb="FF4A235A"/>
      <name val="Arial"/>
    </font>
    <font>
      <b/>
      <sz val="9"/>
      <color rgb="FFB7770D"/>
      <name val="Arial"/>
    </font>
    <font>
      <b/>
      <sz val="9"/>
      <color rgb="FF922B21"/>
      <name val="Arial"/>
    </font>
    <font>
      <b/>
      <sz val="9"/>
      <color rgb="FF7D3C98"/>
      <name val="Arial"/>
    </font>
    <font>
      <b/>
      <sz val="11"/>
      <name val="Arial"/>
    </font>
    <font>
      <sz val="10"/>
      <color rgb="FF1A1A2E"/>
      <name val="Arial"/>
    </font>
    <font>
      <b/>
      <sz val="10"/>
      <color rgb="FF1A1A2E"/>
      <name val="Arial"/>
    </font>
    <font>
      <b/>
      <sz val="10"/>
      <color rgb="FF9C5700"/>
      <name val="Arial"/>
    </font>
    <font>
      <sz val="10"/>
      <color rgb="FF999999"/>
      <name val="Arial"/>
    </font>
    <font>
      <b/>
      <sz val="12"/>
      <color rgb="FFFFFFFF"/>
      <name val="Arial"/>
    </font>
    <font>
      <b/>
      <sz val="10"/>
      <color rgb="FF276221"/>
      <name val="Arial"/>
    </font>
    <font>
      <b/>
      <sz val="10"/>
      <color rgb="FF9C0006"/>
      <name val="Arial"/>
    </font>
    <font>
      <b/>
      <sz val="10"/>
      <color rgb="FF8B1A1A"/>
      <name val="Arial"/>
    </font>
    <font>
      <b/>
      <sz val="11"/>
      <color rgb="FF1F3864"/>
      <name val="Arial"/>
    </font>
    <font>
      <b/>
      <sz val="10"/>
      <color rgb="FF1F3864"/>
      <name val="Arial"/>
    </font>
    <font>
      <sz val="9"/>
      <color rgb="FF2E74B5"/>
      <name val="Arial"/>
    </font>
    <font>
      <i/>
      <sz val="8"/>
      <color rgb="FF7F7F7F"/>
      <name val="Arial"/>
    </font>
  </fonts>
  <fills count="30">
    <fill>
      <patternFill patternType="none"/>
    </fill>
    <fill>
      <patternFill patternType="gray125"/>
    </fill>
    <fill>
      <patternFill patternType="solid">
        <fgColor rgb="FF1F3864"/>
      </patternFill>
    </fill>
    <fill>
      <patternFill patternType="solid">
        <fgColor rgb="FFF2F2F2"/>
      </patternFill>
    </fill>
    <fill>
      <patternFill patternType="solid">
        <fgColor rgb="FFFFF2CC"/>
      </patternFill>
    </fill>
    <fill>
      <patternFill patternType="solid">
        <fgColor rgb="FF2E74B5"/>
      </patternFill>
    </fill>
    <fill>
      <patternFill patternType="solid">
        <fgColor rgb="FF8B1A1A"/>
      </patternFill>
    </fill>
    <fill>
      <patternFill patternType="solid">
        <fgColor rgb="FF1F7D78"/>
      </patternFill>
    </fill>
    <fill>
      <patternFill patternType="solid">
        <fgColor rgb="FFE8D5F5"/>
      </patternFill>
    </fill>
    <fill>
      <patternFill patternType="solid">
        <fgColor rgb="FFFFFFFF"/>
      </patternFill>
    </fill>
    <fill>
      <patternFill patternType="solid">
        <fgColor rgb="FFFCE4D6"/>
      </patternFill>
    </fill>
    <fill>
      <patternFill patternType="solid">
        <fgColor rgb="FFE2EFDA"/>
      </patternFill>
    </fill>
    <fill>
      <patternFill patternType="solid">
        <fgColor rgb="FFD4E6F1"/>
      </patternFill>
    </fill>
    <fill>
      <patternFill patternType="solid">
        <fgColor rgb="FFD5F5E3"/>
      </patternFill>
    </fill>
    <fill>
      <patternFill patternType="solid">
        <fgColor rgb="FFF5EEF8"/>
      </patternFill>
    </fill>
    <fill>
      <patternFill patternType="solid">
        <fgColor rgb="FFFEF9E7"/>
      </patternFill>
    </fill>
    <fill>
      <patternFill patternType="solid">
        <fgColor rgb="FFFDEDEC"/>
      </patternFill>
    </fill>
    <fill>
      <patternFill patternType="solid">
        <fgColor rgb="FF4A235A"/>
      </patternFill>
    </fill>
    <fill>
      <patternFill patternType="solid">
        <fgColor rgb="FF1A5276"/>
      </patternFill>
    </fill>
    <fill>
      <patternFill patternType="solid">
        <fgColor rgb="FF0B6E4F"/>
      </patternFill>
    </fill>
    <fill>
      <patternFill patternType="solid">
        <fgColor rgb="FF7D3C98"/>
      </patternFill>
    </fill>
    <fill>
      <patternFill patternType="solid">
        <fgColor rgb="FFB7770D"/>
      </patternFill>
    </fill>
    <fill>
      <patternFill patternType="solid">
        <fgColor rgb="FF922B21"/>
      </patternFill>
    </fill>
    <fill>
      <patternFill patternType="solid">
        <fgColor rgb="FFF5F8FF"/>
      </patternFill>
    </fill>
    <fill>
      <patternFill patternType="solid">
        <fgColor rgb="FFC6EFCE"/>
      </patternFill>
    </fill>
    <fill>
      <patternFill patternType="solid">
        <fgColor rgb="FFC9A84C"/>
      </patternFill>
    </fill>
    <fill>
      <patternFill patternType="solid">
        <fgColor rgb="FFE2CEFF"/>
      </patternFill>
    </fill>
    <fill>
      <patternFill patternType="solid">
        <fgColor rgb="FFD6E4F0"/>
      </patternFill>
    </fill>
    <fill>
      <patternFill patternType="solid">
        <fgColor rgb="FFFFEB9C"/>
      </patternFill>
    </fill>
    <fill>
      <patternFill patternType="solid">
        <fgColor rgb="FFFFC7CE"/>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74">
    <xf numFmtId="0" fontId="0" fillId="0" borderId="0" xfId="0"/>
    <xf numFmtId="0" fontId="4" fillId="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12" fillId="13"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2" fillId="13" borderId="1" xfId="0" applyFont="1" applyFill="1" applyBorder="1" applyAlignment="1">
      <alignment horizontal="left" vertical="center" wrapText="1"/>
    </xf>
    <xf numFmtId="0" fontId="14" fillId="14"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14" fillId="14" borderId="1" xfId="0" applyFont="1" applyFill="1" applyBorder="1" applyAlignment="1">
      <alignment horizontal="left" vertical="center" wrapText="1"/>
    </xf>
    <xf numFmtId="0" fontId="16" fillId="15" borderId="1" xfId="0" applyFont="1" applyFill="1" applyBorder="1" applyAlignment="1">
      <alignment horizontal="center" vertical="center" wrapText="1"/>
    </xf>
    <xf numFmtId="0" fontId="17" fillId="15" borderId="1" xfId="0" applyFont="1" applyFill="1" applyBorder="1" applyAlignment="1">
      <alignment horizontal="center" vertical="center" wrapText="1"/>
    </xf>
    <xf numFmtId="0" fontId="16" fillId="15" borderId="1" xfId="0" applyFont="1" applyFill="1" applyBorder="1" applyAlignment="1">
      <alignment horizontal="left" vertical="center" wrapText="1"/>
    </xf>
    <xf numFmtId="0" fontId="18" fillId="16" borderId="1" xfId="0" applyFont="1" applyFill="1" applyBorder="1" applyAlignment="1">
      <alignment horizontal="center" vertical="center" wrapText="1"/>
    </xf>
    <xf numFmtId="0" fontId="19" fillId="16" borderId="1" xfId="0" applyFont="1" applyFill="1" applyBorder="1" applyAlignment="1">
      <alignment horizontal="center" vertical="center" wrapText="1"/>
    </xf>
    <xf numFmtId="0" fontId="18" fillId="16"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20"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22" fillId="23" borderId="1" xfId="0" applyFont="1" applyFill="1" applyBorder="1" applyAlignment="1">
      <alignment horizontal="left" vertical="center" wrapText="1"/>
    </xf>
    <xf numFmtId="0" fontId="23" fillId="24" borderId="1" xfId="0" applyFont="1" applyFill="1" applyBorder="1" applyAlignment="1">
      <alignment horizontal="center" vertical="center" wrapText="1"/>
    </xf>
    <xf numFmtId="0" fontId="22" fillId="9" borderId="1" xfId="0" applyFont="1" applyFill="1" applyBorder="1" applyAlignment="1">
      <alignment horizontal="left" vertical="center" wrapText="1"/>
    </xf>
    <xf numFmtId="0" fontId="24" fillId="3" borderId="1" xfId="0" applyFont="1" applyFill="1" applyBorder="1" applyAlignment="1">
      <alignment horizontal="center" vertical="center" wrapText="1"/>
    </xf>
    <xf numFmtId="0" fontId="26" fillId="25" borderId="1" xfId="0" applyFont="1" applyFill="1" applyBorder="1" applyAlignment="1">
      <alignment horizontal="center" vertical="center" wrapText="1"/>
    </xf>
    <xf numFmtId="0" fontId="26" fillId="23" borderId="1" xfId="0" applyFont="1" applyFill="1" applyBorder="1" applyAlignment="1">
      <alignment horizontal="center" vertical="center" wrapText="1"/>
    </xf>
    <xf numFmtId="0" fontId="7" fillId="23" borderId="1" xfId="0" applyFont="1" applyFill="1" applyBorder="1" applyAlignment="1">
      <alignment horizontal="left" vertical="center" wrapText="1"/>
    </xf>
    <xf numFmtId="0" fontId="22" fillId="23" borderId="1" xfId="0" applyFont="1" applyFill="1" applyBorder="1" applyAlignment="1">
      <alignment horizontal="center" vertical="center" wrapText="1"/>
    </xf>
    <xf numFmtId="0" fontId="27" fillId="26" borderId="1" xfId="0" applyFont="1" applyFill="1" applyBorder="1" applyAlignment="1">
      <alignment horizontal="center" vertical="center" wrapText="1"/>
    </xf>
    <xf numFmtId="0" fontId="28" fillId="8" borderId="1" xfId="0" applyFont="1" applyFill="1" applyBorder="1" applyAlignment="1">
      <alignment horizontal="center" vertical="center" wrapText="1"/>
    </xf>
    <xf numFmtId="0" fontId="29" fillId="12" borderId="1" xfId="0" applyFont="1" applyFill="1" applyBorder="1" applyAlignment="1">
      <alignment horizontal="center" vertical="center" wrapText="1"/>
    </xf>
    <xf numFmtId="0" fontId="30" fillId="13" borderId="1" xfId="0" applyFont="1" applyFill="1" applyBorder="1" applyAlignment="1">
      <alignment horizontal="center" vertical="center" wrapText="1"/>
    </xf>
    <xf numFmtId="0" fontId="31" fillId="14" borderId="1" xfId="0" applyFont="1" applyFill="1" applyBorder="1" applyAlignment="1">
      <alignment horizontal="center" vertical="center" wrapText="1"/>
    </xf>
    <xf numFmtId="0" fontId="32" fillId="15" borderId="1" xfId="0" applyFont="1" applyFill="1" applyBorder="1" applyAlignment="1">
      <alignment horizontal="center" vertical="center" wrapText="1"/>
    </xf>
    <xf numFmtId="0" fontId="33" fillId="16" borderId="1" xfId="0" applyFont="1" applyFill="1" applyBorder="1" applyAlignment="1">
      <alignment horizontal="center" vertical="center" wrapText="1"/>
    </xf>
    <xf numFmtId="0" fontId="34" fillId="2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34" fillId="9" borderId="1" xfId="0" applyFont="1" applyFill="1" applyBorder="1" applyAlignment="1">
      <alignment horizontal="center" vertical="center" wrapText="1"/>
    </xf>
    <xf numFmtId="0" fontId="35" fillId="11" borderId="1" xfId="0" applyFont="1" applyFill="1" applyBorder="1" applyAlignment="1">
      <alignment horizontal="center" vertical="center" wrapText="1"/>
    </xf>
    <xf numFmtId="0" fontId="36" fillId="3" borderId="1" xfId="0" applyFont="1" applyFill="1" applyBorder="1" applyAlignment="1">
      <alignment horizontal="center" vertical="center" wrapText="1"/>
    </xf>
    <xf numFmtId="0" fontId="8" fillId="23"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37" fillId="23" borderId="1" xfId="0" applyFont="1" applyFill="1" applyBorder="1" applyAlignment="1">
      <alignment horizontal="left" vertical="center" wrapText="1"/>
    </xf>
    <xf numFmtId="0" fontId="37" fillId="27" borderId="1" xfId="0" applyFont="1" applyFill="1" applyBorder="1" applyAlignment="1">
      <alignment horizontal="center" vertical="center" wrapText="1"/>
    </xf>
    <xf numFmtId="0" fontId="37" fillId="9" borderId="1" xfId="0" applyFont="1" applyFill="1" applyBorder="1" applyAlignment="1">
      <alignment horizontal="left" vertical="center" wrapText="1"/>
    </xf>
    <xf numFmtId="0" fontId="38" fillId="9" borderId="1" xfId="0" applyFont="1" applyFill="1" applyBorder="1" applyAlignment="1">
      <alignment horizontal="left" vertical="center" wrapText="1"/>
    </xf>
    <xf numFmtId="0" fontId="38" fillId="23" borderId="1" xfId="0" applyFont="1" applyFill="1" applyBorder="1" applyAlignment="1">
      <alignment horizontal="left" vertical="center" wrapText="1"/>
    </xf>
    <xf numFmtId="0" fontId="27" fillId="23" borderId="1" xfId="0" applyFont="1" applyFill="1" applyBorder="1" applyAlignment="1">
      <alignment horizontal="left" vertical="center" wrapText="1"/>
    </xf>
    <xf numFmtId="0" fontId="27" fillId="9" borderId="1" xfId="0" applyFont="1" applyFill="1" applyBorder="1" applyAlignment="1">
      <alignment horizontal="left" vertical="center" wrapText="1"/>
    </xf>
    <xf numFmtId="0" fontId="35" fillId="9" borderId="1" xfId="0" applyFont="1" applyFill="1" applyBorder="1" applyAlignment="1">
      <alignment horizontal="left" vertical="center" wrapText="1"/>
    </xf>
    <xf numFmtId="0" fontId="35" fillId="23" borderId="1" xfId="0" applyFont="1" applyFill="1" applyBorder="1" applyAlignment="1">
      <alignment horizontal="left" vertical="center" wrapText="1"/>
    </xf>
    <xf numFmtId="0" fontId="39" fillId="9" borderId="1" xfId="0" applyFont="1" applyFill="1" applyBorder="1" applyAlignment="1">
      <alignment horizontal="left" vertical="center" wrapText="1"/>
    </xf>
    <xf numFmtId="0" fontId="39" fillId="23" borderId="1" xfId="0" applyFont="1" applyFill="1" applyBorder="1" applyAlignment="1">
      <alignment horizontal="left" vertical="center" wrapText="1"/>
    </xf>
    <xf numFmtId="0" fontId="40" fillId="9" borderId="1" xfId="0" applyFont="1" applyFill="1" applyBorder="1" applyAlignment="1">
      <alignment horizontal="left" vertical="center" wrapText="1"/>
    </xf>
    <xf numFmtId="0" fontId="40" fillId="23" borderId="1" xfId="0" applyFont="1" applyFill="1" applyBorder="1" applyAlignment="1">
      <alignment horizontal="left" vertical="center" wrapText="1"/>
    </xf>
    <xf numFmtId="0" fontId="41" fillId="9" borderId="1" xfId="0" applyFont="1" applyFill="1" applyBorder="1" applyAlignment="1">
      <alignment horizontal="left" vertical="center" wrapText="1"/>
    </xf>
    <xf numFmtId="0" fontId="41" fillId="23" borderId="1" xfId="0" applyFont="1" applyFill="1" applyBorder="1" applyAlignment="1">
      <alignment horizontal="left" vertical="center" wrapText="1"/>
    </xf>
    <xf numFmtId="0" fontId="42" fillId="9" borderId="1" xfId="0" applyFont="1" applyFill="1" applyBorder="1" applyAlignment="1">
      <alignment horizontal="left" vertical="center" wrapText="1"/>
    </xf>
    <xf numFmtId="0" fontId="42" fillId="23" borderId="1" xfId="0" applyFont="1" applyFill="1" applyBorder="1" applyAlignment="1">
      <alignment horizontal="left" vertical="center" wrapText="1"/>
    </xf>
    <xf numFmtId="0" fontId="43" fillId="23" borderId="1" xfId="0" applyFont="1" applyFill="1" applyBorder="1" applyAlignment="1">
      <alignment horizontal="left" vertical="center" wrapText="1"/>
    </xf>
    <xf numFmtId="0" fontId="43" fillId="9" borderId="1" xfId="0" applyFont="1" applyFill="1" applyBorder="1" applyAlignment="1">
      <alignment horizontal="left" vertical="center" wrapText="1"/>
    </xf>
    <xf numFmtId="0" fontId="44" fillId="23" borderId="1" xfId="0" applyFont="1" applyFill="1" applyBorder="1" applyAlignment="1">
      <alignment horizontal="left" vertical="center" wrapText="1"/>
    </xf>
    <xf numFmtId="0" fontId="44" fillId="9" borderId="1" xfId="0" applyFont="1" applyFill="1" applyBorder="1" applyAlignment="1">
      <alignment horizontal="left" vertical="center" wrapText="1"/>
    </xf>
    <xf numFmtId="0" fontId="45" fillId="27" borderId="1" xfId="0" applyFont="1" applyFill="1" applyBorder="1" applyAlignment="1">
      <alignment horizontal="center" vertical="center" wrapText="1"/>
    </xf>
    <xf numFmtId="0" fontId="45" fillId="24" borderId="1" xfId="0" applyFont="1" applyFill="1" applyBorder="1" applyAlignment="1">
      <alignment horizontal="center" vertical="center" wrapText="1"/>
    </xf>
    <xf numFmtId="0" fontId="45" fillId="28" borderId="1" xfId="0" applyFont="1" applyFill="1" applyBorder="1" applyAlignment="1">
      <alignment horizontal="center" vertical="center" wrapText="1"/>
    </xf>
    <xf numFmtId="0" fontId="45" fillId="2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9" fillId="23"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2" fillId="9"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14"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7" fillId="14" borderId="1" xfId="0" applyFont="1" applyFill="1" applyBorder="1" applyAlignment="1">
      <alignment horizontal="left" vertical="center" wrapText="1"/>
    </xf>
    <xf numFmtId="0" fontId="16" fillId="9" borderId="1" xfId="0" applyFont="1" applyFill="1" applyBorder="1" applyAlignment="1">
      <alignment horizontal="center" vertical="center" wrapText="1"/>
    </xf>
    <xf numFmtId="0" fontId="16" fillId="9" borderId="1"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18" fillId="9" borderId="1" xfId="0" applyFont="1" applyFill="1" applyBorder="1" applyAlignment="1">
      <alignment horizontal="center" vertical="center" wrapText="1"/>
    </xf>
    <xf numFmtId="0" fontId="18" fillId="9" borderId="1"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47" fillId="27" borderId="1" xfId="0" applyFont="1" applyFill="1" applyBorder="1" applyAlignment="1">
      <alignment horizontal="center" vertical="center" wrapText="1"/>
    </xf>
    <xf numFmtId="0" fontId="46" fillId="4" borderId="1" xfId="0" applyFont="1" applyFill="1" applyBorder="1" applyAlignment="1">
      <alignment horizontal="center" vertical="center" wrapText="1"/>
    </xf>
    <xf numFmtId="0" fontId="48" fillId="28" borderId="1" xfId="0" applyFont="1" applyFill="1" applyBorder="1" applyAlignment="1">
      <alignment horizontal="center" vertical="center" wrapText="1"/>
    </xf>
    <xf numFmtId="0" fontId="46" fillId="4" borderId="1" xfId="0" applyFont="1" applyFill="1" applyBorder="1" applyAlignment="1">
      <alignment horizontal="left" vertical="center" wrapText="1"/>
    </xf>
    <xf numFmtId="0" fontId="46" fillId="9" borderId="1" xfId="0" applyFont="1" applyFill="1" applyBorder="1" applyAlignment="1">
      <alignment horizontal="left" vertical="center" wrapText="1"/>
    </xf>
    <xf numFmtId="0" fontId="46" fillId="23" borderId="1" xfId="0" applyFont="1" applyFill="1" applyBorder="1" applyAlignment="1">
      <alignment horizontal="left" vertical="center" wrapText="1"/>
    </xf>
    <xf numFmtId="0" fontId="49" fillId="3" borderId="1" xfId="0" applyFont="1" applyFill="1" applyBorder="1" applyAlignment="1">
      <alignment horizontal="center" vertical="center" wrapText="1"/>
    </xf>
    <xf numFmtId="0" fontId="47" fillId="8" borderId="1" xfId="0" applyFont="1" applyFill="1" applyBorder="1" applyAlignment="1">
      <alignment horizontal="center" vertical="center" wrapText="1"/>
    </xf>
    <xf numFmtId="0" fontId="51" fillId="24" borderId="1" xfId="0" applyFont="1" applyFill="1" applyBorder="1" applyAlignment="1">
      <alignment horizontal="center" vertical="center" wrapText="1"/>
    </xf>
    <xf numFmtId="0" fontId="52" fillId="29" borderId="1" xfId="0" applyFont="1" applyFill="1" applyBorder="1" applyAlignment="1">
      <alignment horizontal="center" vertical="center" wrapText="1"/>
    </xf>
    <xf numFmtId="0" fontId="47"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7" fillId="12" borderId="1" xfId="0" applyFont="1" applyFill="1" applyBorder="1" applyAlignment="1">
      <alignment horizontal="center" vertical="center" wrapText="1"/>
    </xf>
    <xf numFmtId="0" fontId="47" fillId="13" borderId="1" xfId="0" applyFont="1" applyFill="1" applyBorder="1" applyAlignment="1">
      <alignment horizontal="center" vertical="center" wrapText="1"/>
    </xf>
    <xf numFmtId="0" fontId="47" fillId="14" borderId="1" xfId="0" applyFont="1" applyFill="1" applyBorder="1" applyAlignment="1">
      <alignment horizontal="center" vertical="center" wrapText="1"/>
    </xf>
    <xf numFmtId="0" fontId="47" fillId="15" borderId="1" xfId="0" applyFont="1" applyFill="1" applyBorder="1" applyAlignment="1">
      <alignment horizontal="center" vertical="center" wrapText="1"/>
    </xf>
    <xf numFmtId="0" fontId="47" fillId="16" borderId="1" xfId="0" applyFont="1" applyFill="1" applyBorder="1" applyAlignment="1">
      <alignment horizontal="center" vertical="center" wrapText="1"/>
    </xf>
    <xf numFmtId="0" fontId="28" fillId="8" borderId="1" xfId="0" applyFont="1" applyFill="1" applyBorder="1" applyAlignment="1">
      <alignment horizontal="left" vertical="center" wrapText="1"/>
    </xf>
    <xf numFmtId="0" fontId="53" fillId="10" borderId="1" xfId="0" applyFont="1" applyFill="1" applyBorder="1" applyAlignment="1">
      <alignment horizontal="left" vertical="center" wrapText="1"/>
    </xf>
    <xf numFmtId="0" fontId="29" fillId="9" borderId="1" xfId="0" applyFont="1" applyFill="1" applyBorder="1" applyAlignment="1">
      <alignment horizontal="left" vertical="center" wrapText="1"/>
    </xf>
    <xf numFmtId="0" fontId="30" fillId="13" borderId="1" xfId="0" applyFont="1" applyFill="1" applyBorder="1" applyAlignment="1">
      <alignment horizontal="left" vertical="center" wrapText="1"/>
    </xf>
    <xf numFmtId="0" fontId="31" fillId="9" borderId="1" xfId="0" applyFont="1" applyFill="1" applyBorder="1" applyAlignment="1">
      <alignment horizontal="left" vertical="center" wrapText="1"/>
    </xf>
    <xf numFmtId="0" fontId="32" fillId="15" borderId="1" xfId="0" applyFont="1" applyFill="1" applyBorder="1" applyAlignment="1">
      <alignment horizontal="left" vertical="center" wrapText="1"/>
    </xf>
    <xf numFmtId="0" fontId="33" fillId="9" borderId="1" xfId="0" applyFont="1" applyFill="1" applyBorder="1" applyAlignment="1">
      <alignment horizontal="left" vertical="center" wrapText="1"/>
    </xf>
    <xf numFmtId="0" fontId="55" fillId="23" borderId="1" xfId="0" applyFont="1" applyFill="1" applyBorder="1" applyAlignment="1">
      <alignment horizontal="center" vertical="center" wrapText="1"/>
    </xf>
    <xf numFmtId="0" fontId="47" fillId="23" borderId="1" xfId="0" applyFont="1" applyFill="1" applyBorder="1" applyAlignment="1">
      <alignment horizontal="left" vertical="center" wrapText="1"/>
    </xf>
    <xf numFmtId="0" fontId="56" fillId="27" borderId="1" xfId="0" applyFont="1" applyFill="1" applyBorder="1" applyAlignment="1">
      <alignment horizontal="center" vertical="center" wrapText="1"/>
    </xf>
    <xf numFmtId="0" fontId="55" fillId="9" borderId="1" xfId="0" applyFont="1" applyFill="1" applyBorder="1" applyAlignment="1">
      <alignment horizontal="center" vertical="center" wrapText="1"/>
    </xf>
    <xf numFmtId="0" fontId="47" fillId="9" borderId="1" xfId="0" applyFont="1" applyFill="1" applyBorder="1" applyAlignment="1">
      <alignment horizontal="left" vertical="center" wrapText="1"/>
    </xf>
    <xf numFmtId="0" fontId="22" fillId="23" borderId="1" xfId="0" applyFont="1" applyFill="1" applyBorder="1" applyAlignment="1">
      <alignment horizontal="left" vertical="center" wrapText="1"/>
    </xf>
    <xf numFmtId="0" fontId="0" fillId="0" borderId="0" xfId="0"/>
    <xf numFmtId="0" fontId="4" fillId="2" borderId="1" xfId="0" applyFont="1" applyFill="1" applyBorder="1" applyAlignment="1">
      <alignment horizontal="center" vertical="center" wrapText="1"/>
    </xf>
    <xf numFmtId="0" fontId="0" fillId="0" borderId="2" xfId="0" applyBorder="1"/>
    <xf numFmtId="0" fontId="3" fillId="4" borderId="0" xfId="0" applyFont="1" applyFill="1" applyAlignment="1">
      <alignment horizontal="left" vertical="center"/>
    </xf>
    <xf numFmtId="0" fontId="22" fillId="9" borderId="1" xfId="0" applyFont="1" applyFill="1" applyBorder="1" applyAlignment="1">
      <alignment horizontal="left" vertical="center" wrapText="1"/>
    </xf>
    <xf numFmtId="0" fontId="2" fillId="3" borderId="0" xfId="0" applyFont="1" applyFill="1" applyAlignment="1">
      <alignment horizontal="left" vertical="center"/>
    </xf>
    <xf numFmtId="0" fontId="20" fillId="4" borderId="1" xfId="0" applyFont="1" applyFill="1" applyBorder="1" applyAlignment="1">
      <alignment horizontal="left" vertical="center"/>
    </xf>
    <xf numFmtId="0" fontId="57" fillId="0" borderId="0" xfId="0" applyFont="1" applyAlignment="1">
      <alignment horizontal="left" vertical="center"/>
    </xf>
    <xf numFmtId="0" fontId="21" fillId="2" borderId="0" xfId="0" applyFont="1" applyFill="1" applyAlignment="1">
      <alignment horizontal="left" vertical="center" wrapText="1"/>
    </xf>
    <xf numFmtId="0" fontId="1" fillId="2" borderId="0" xfId="0" applyFont="1" applyFill="1" applyAlignment="1">
      <alignment horizontal="left" vertical="center"/>
    </xf>
    <xf numFmtId="0" fontId="25" fillId="2" borderId="1" xfId="0" applyFont="1" applyFill="1" applyBorder="1" applyAlignment="1">
      <alignment horizontal="center" vertical="center" wrapText="1"/>
    </xf>
    <xf numFmtId="0" fontId="25" fillId="7"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25" fillId="25" borderId="1" xfId="0" applyFont="1" applyFill="1" applyBorder="1" applyAlignment="1">
      <alignment horizontal="center" vertical="center" wrapText="1"/>
    </xf>
    <xf numFmtId="0" fontId="46" fillId="8" borderId="1" xfId="0" applyFont="1" applyFill="1" applyBorder="1" applyAlignment="1">
      <alignment horizontal="left" vertical="center" wrapText="1"/>
    </xf>
    <xf numFmtId="0" fontId="1" fillId="17" borderId="0" xfId="0" applyFont="1" applyFill="1" applyAlignment="1">
      <alignment horizontal="left" vertical="center"/>
    </xf>
    <xf numFmtId="0" fontId="21" fillId="6" borderId="1" xfId="0" applyFont="1" applyFill="1" applyBorder="1" applyAlignment="1">
      <alignment horizontal="left" vertical="center" wrapText="1"/>
    </xf>
    <xf numFmtId="0" fontId="46" fillId="10" borderId="1" xfId="0" applyFont="1" applyFill="1" applyBorder="1" applyAlignment="1">
      <alignment horizontal="left" vertical="center" wrapText="1"/>
    </xf>
    <xf numFmtId="0" fontId="21" fillId="17" borderId="1" xfId="0" applyFont="1" applyFill="1" applyBorder="1" applyAlignment="1">
      <alignment horizontal="left" vertical="center" wrapText="1"/>
    </xf>
    <xf numFmtId="0" fontId="3" fillId="8" borderId="0" xfId="0" applyFont="1" applyFill="1" applyAlignment="1">
      <alignment horizontal="left" vertical="center"/>
    </xf>
    <xf numFmtId="0" fontId="46" fillId="12" borderId="1" xfId="0" applyFont="1" applyFill="1" applyBorder="1" applyAlignment="1">
      <alignment horizontal="left" vertical="center" wrapText="1"/>
    </xf>
    <xf numFmtId="0" fontId="1" fillId="18" borderId="0" xfId="0" applyFont="1" applyFill="1" applyAlignment="1">
      <alignment horizontal="left" vertical="center"/>
    </xf>
    <xf numFmtId="0" fontId="21" fillId="18" borderId="1" xfId="0" applyFont="1" applyFill="1" applyBorder="1" applyAlignment="1">
      <alignment horizontal="left" vertical="center" wrapText="1"/>
    </xf>
    <xf numFmtId="0" fontId="3" fillId="12" borderId="0" xfId="0" applyFont="1" applyFill="1" applyAlignment="1">
      <alignment horizontal="left" vertical="center"/>
    </xf>
    <xf numFmtId="0" fontId="46" fillId="13" borderId="1" xfId="0" applyFont="1" applyFill="1" applyBorder="1" applyAlignment="1">
      <alignment horizontal="left" vertical="center" wrapText="1"/>
    </xf>
    <xf numFmtId="0" fontId="1" fillId="19" borderId="0" xfId="0" applyFont="1" applyFill="1" applyAlignment="1">
      <alignment horizontal="left" vertical="center"/>
    </xf>
    <xf numFmtId="0" fontId="21" fillId="19" borderId="1" xfId="0" applyFont="1" applyFill="1" applyBorder="1" applyAlignment="1">
      <alignment horizontal="left" vertical="center" wrapText="1"/>
    </xf>
    <xf numFmtId="0" fontId="3" fillId="13" borderId="0" xfId="0" applyFont="1" applyFill="1" applyAlignment="1">
      <alignment horizontal="left" vertical="center"/>
    </xf>
    <xf numFmtId="0" fontId="46" fillId="14" borderId="1" xfId="0" applyFont="1" applyFill="1" applyBorder="1" applyAlignment="1">
      <alignment horizontal="left" vertical="center" wrapText="1"/>
    </xf>
    <xf numFmtId="0" fontId="1" fillId="20" borderId="0" xfId="0" applyFont="1" applyFill="1" applyAlignment="1">
      <alignment horizontal="left" vertical="center"/>
    </xf>
    <xf numFmtId="0" fontId="21" fillId="20" borderId="1" xfId="0" applyFont="1" applyFill="1" applyBorder="1" applyAlignment="1">
      <alignment horizontal="left" vertical="center" wrapText="1"/>
    </xf>
    <xf numFmtId="0" fontId="3" fillId="14" borderId="0" xfId="0" applyFont="1" applyFill="1" applyAlignment="1">
      <alignment horizontal="left" vertical="center"/>
    </xf>
    <xf numFmtId="0" fontId="46" fillId="15" borderId="1" xfId="0" applyFont="1" applyFill="1" applyBorder="1" applyAlignment="1">
      <alignment horizontal="left" vertical="center" wrapText="1"/>
    </xf>
    <xf numFmtId="0" fontId="1" fillId="21" borderId="0" xfId="0" applyFont="1" applyFill="1" applyAlignment="1">
      <alignment horizontal="left" vertical="center"/>
    </xf>
    <xf numFmtId="0" fontId="21" fillId="21" borderId="1" xfId="0" applyFont="1" applyFill="1" applyBorder="1" applyAlignment="1">
      <alignment horizontal="left" vertical="center" wrapText="1"/>
    </xf>
    <xf numFmtId="0" fontId="3" fillId="15" borderId="0" xfId="0" applyFont="1" applyFill="1" applyAlignment="1">
      <alignment horizontal="left" vertical="center"/>
    </xf>
    <xf numFmtId="0" fontId="46" fillId="16" borderId="1" xfId="0" applyFont="1" applyFill="1" applyBorder="1" applyAlignment="1">
      <alignment horizontal="left" vertical="center" wrapText="1"/>
    </xf>
    <xf numFmtId="0" fontId="1" fillId="22" borderId="0" xfId="0" applyFont="1" applyFill="1" applyAlignment="1">
      <alignment horizontal="left" vertical="center"/>
    </xf>
    <xf numFmtId="0" fontId="21" fillId="22" borderId="1" xfId="0" applyFont="1" applyFill="1" applyBorder="1" applyAlignment="1">
      <alignment horizontal="left" vertical="center" wrapText="1"/>
    </xf>
    <xf numFmtId="0" fontId="3" fillId="16" borderId="0" xfId="0" applyFont="1" applyFill="1" applyAlignment="1">
      <alignment horizontal="left" vertical="center"/>
    </xf>
    <xf numFmtId="0" fontId="50" fillId="6" borderId="1" xfId="0" applyFont="1" applyFill="1" applyBorder="1" applyAlignment="1">
      <alignment horizontal="left" vertical="center" wrapText="1"/>
    </xf>
    <xf numFmtId="0" fontId="50" fillId="2" borderId="1" xfId="0" applyFont="1" applyFill="1" applyBorder="1" applyAlignment="1">
      <alignment horizontal="left" vertical="center" wrapText="1"/>
    </xf>
    <xf numFmtId="0" fontId="54" fillId="4" borderId="1" xfId="0" applyFont="1" applyFill="1" applyBorder="1" applyAlignment="1">
      <alignment horizontal="left" vertical="center" wrapText="1"/>
    </xf>
  </cellXfs>
  <cellStyles count="1">
    <cellStyle name="Normal" xfId="0" builtinId="0"/>
  </cellStyles>
  <dxfs count="74">
    <dxf>
      <font>
        <b/>
        <color rgb="FFFFFFFF"/>
        <name val="Arial"/>
      </font>
      <fill>
        <patternFill patternType="solid">
          <fgColor rgb="FFFF4B4B"/>
        </patternFill>
      </fill>
    </dxf>
    <dxf>
      <font>
        <b/>
        <color rgb="FF1A1A2E"/>
        <name val="Arial"/>
      </font>
      <fill>
        <patternFill patternType="solid">
          <fgColor rgb="FFF2F2F2"/>
        </patternFill>
      </fill>
    </dxf>
    <dxf>
      <font>
        <b/>
        <color rgb="FF9C0006"/>
        <name val="Arial"/>
      </font>
      <fill>
        <patternFill patternType="solid">
          <fgColor rgb="FFFFC7CE"/>
        </patternFill>
      </fill>
    </dxf>
    <dxf>
      <font>
        <b/>
        <color rgb="FF2E74B5"/>
        <name val="Arial"/>
      </font>
      <fill>
        <patternFill patternType="solid">
          <fgColor rgb="FFD6E4F0"/>
        </patternFill>
      </fill>
    </dxf>
    <dxf>
      <font>
        <b/>
        <color rgb="FF9C5700"/>
        <name val="Arial"/>
      </font>
      <fill>
        <patternFill patternType="solid">
          <fgColor rgb="FFFFEB9C"/>
        </patternFill>
      </fill>
    </dxf>
    <dxf>
      <font>
        <b/>
        <color rgb="FF9C5700"/>
        <name val="Arial"/>
      </font>
      <fill>
        <patternFill patternType="solid">
          <fgColor rgb="FFFFEB9C"/>
        </patternFill>
      </fill>
    </dxf>
    <dxf>
      <font>
        <b/>
        <color rgb="FF375623"/>
        <name val="Arial"/>
      </font>
      <fill>
        <patternFill patternType="solid">
          <fgColor rgb="FFC6EFCE"/>
        </patternFill>
      </fill>
    </dxf>
    <dxf>
      <font>
        <b/>
        <color rgb="FF276221"/>
        <name val="Arial"/>
      </font>
      <fill>
        <patternFill patternType="solid">
          <fgColor rgb="FFC6EFCE"/>
        </patternFill>
      </fill>
    </dxf>
    <dxf>
      <font>
        <b/>
        <color rgb="FF1A1A2E"/>
        <name val="Arial"/>
      </font>
      <fill>
        <patternFill patternType="solid">
          <fgColor rgb="FFF2F2F2"/>
        </patternFill>
      </fill>
    </dxf>
    <dxf>
      <font>
        <b/>
        <color rgb="FF276221"/>
        <name val="Arial"/>
      </font>
      <fill>
        <patternFill patternType="solid">
          <fgColor rgb="FFC6EFCE"/>
        </patternFill>
      </fill>
    </dxf>
    <dxf>
      <font>
        <b/>
        <color rgb="FF9C5700"/>
        <name val="Arial"/>
      </font>
      <fill>
        <patternFill patternType="solid">
          <fgColor rgb="FFFFEB9C"/>
        </patternFill>
      </fill>
    </dxf>
    <dxf>
      <font>
        <b/>
        <color rgb="FF9C0006"/>
        <name val="Arial"/>
      </font>
      <fill>
        <patternFill patternType="solid">
          <fgColor rgb="FFFFC7CE"/>
        </patternFill>
      </fill>
    </dxf>
    <dxf>
      <font>
        <b/>
        <color rgb="FFFFFFFF"/>
        <name val="Arial"/>
      </font>
      <fill>
        <patternFill patternType="solid">
          <fgColor rgb="FFFF4B4B"/>
        </patternFill>
      </fill>
    </dxf>
    <dxf>
      <font>
        <b/>
        <color rgb="FFFFFFFF"/>
        <name val="Arial"/>
      </font>
      <fill>
        <patternFill patternType="solid">
          <fgColor rgb="FFFF4B4B"/>
        </patternFill>
      </fill>
    </dxf>
    <dxf>
      <font>
        <b/>
        <color rgb="FF1A1A2E"/>
        <name val="Arial"/>
      </font>
      <fill>
        <patternFill patternType="solid">
          <fgColor rgb="FFF2F2F2"/>
        </patternFill>
      </fill>
    </dxf>
    <dxf>
      <font>
        <b/>
        <color rgb="FF9C0006"/>
        <name val="Arial"/>
      </font>
      <fill>
        <patternFill patternType="solid">
          <fgColor rgb="FFFFC7CE"/>
        </patternFill>
      </fill>
    </dxf>
    <dxf>
      <font>
        <b/>
        <color rgb="FF2E74B5"/>
        <name val="Arial"/>
      </font>
      <fill>
        <patternFill patternType="solid">
          <fgColor rgb="FFD6E4F0"/>
        </patternFill>
      </fill>
    </dxf>
    <dxf>
      <font>
        <b/>
        <color rgb="FF9C5700"/>
        <name val="Arial"/>
      </font>
      <fill>
        <patternFill patternType="solid">
          <fgColor rgb="FFFFEB9C"/>
        </patternFill>
      </fill>
    </dxf>
    <dxf>
      <font>
        <b/>
        <color rgb="FF9C5700"/>
        <name val="Arial"/>
      </font>
      <fill>
        <patternFill patternType="solid">
          <fgColor rgb="FFFFEB9C"/>
        </patternFill>
      </fill>
    </dxf>
    <dxf>
      <font>
        <b/>
        <color rgb="FF375623"/>
        <name val="Arial"/>
      </font>
      <fill>
        <patternFill patternType="solid">
          <fgColor rgb="FFC6EFCE"/>
        </patternFill>
      </fill>
    </dxf>
    <dxf>
      <font>
        <b/>
        <color rgb="FF276221"/>
        <name val="Arial"/>
      </font>
      <fill>
        <patternFill patternType="solid">
          <fgColor rgb="FFC6EFCE"/>
        </patternFill>
      </fill>
    </dxf>
    <dxf>
      <font>
        <b/>
        <color rgb="FFFFFFFF"/>
        <name val="Arial"/>
      </font>
      <fill>
        <patternFill patternType="solid">
          <fgColor rgb="FFFF4B4B"/>
        </patternFill>
      </fill>
    </dxf>
    <dxf>
      <font>
        <b/>
        <color rgb="FF1A1A2E"/>
        <name val="Arial"/>
      </font>
      <fill>
        <patternFill patternType="solid">
          <fgColor rgb="FFF2F2F2"/>
        </patternFill>
      </fill>
    </dxf>
    <dxf>
      <font>
        <b/>
        <color rgb="FF9C0006"/>
        <name val="Arial"/>
      </font>
      <fill>
        <patternFill patternType="solid">
          <fgColor rgb="FFFFC7CE"/>
        </patternFill>
      </fill>
    </dxf>
    <dxf>
      <font>
        <b/>
        <color rgb="FF2E74B5"/>
        <name val="Arial"/>
      </font>
      <fill>
        <patternFill patternType="solid">
          <fgColor rgb="FFD6E4F0"/>
        </patternFill>
      </fill>
    </dxf>
    <dxf>
      <font>
        <b/>
        <color rgb="FF9C5700"/>
        <name val="Arial"/>
      </font>
      <fill>
        <patternFill patternType="solid">
          <fgColor rgb="FFFFEB9C"/>
        </patternFill>
      </fill>
    </dxf>
    <dxf>
      <font>
        <b/>
        <color rgb="FF9C5700"/>
        <name val="Arial"/>
      </font>
      <fill>
        <patternFill patternType="solid">
          <fgColor rgb="FFFFEB9C"/>
        </patternFill>
      </fill>
    </dxf>
    <dxf>
      <font>
        <b/>
        <color rgb="FF375623"/>
        <name val="Arial"/>
      </font>
      <fill>
        <patternFill patternType="solid">
          <fgColor rgb="FFC6EFCE"/>
        </patternFill>
      </fill>
    </dxf>
    <dxf>
      <font>
        <b/>
        <color rgb="FF276221"/>
        <name val="Arial"/>
      </font>
      <fill>
        <patternFill patternType="solid">
          <fgColor rgb="FFC6EFCE"/>
        </patternFill>
      </fill>
    </dxf>
    <dxf>
      <font>
        <b/>
        <color rgb="FFFFFFFF"/>
        <name val="Arial"/>
      </font>
      <fill>
        <patternFill patternType="solid">
          <fgColor rgb="FFFF4B4B"/>
        </patternFill>
      </fill>
    </dxf>
    <dxf>
      <font>
        <b/>
        <color rgb="FF1A1A2E"/>
        <name val="Arial"/>
      </font>
      <fill>
        <patternFill patternType="solid">
          <fgColor rgb="FFF2F2F2"/>
        </patternFill>
      </fill>
    </dxf>
    <dxf>
      <font>
        <b/>
        <color rgb="FF9C0006"/>
        <name val="Arial"/>
      </font>
      <fill>
        <patternFill patternType="solid">
          <fgColor rgb="FFFFC7CE"/>
        </patternFill>
      </fill>
    </dxf>
    <dxf>
      <font>
        <b/>
        <color rgb="FF2E74B5"/>
        <name val="Arial"/>
      </font>
      <fill>
        <patternFill patternType="solid">
          <fgColor rgb="FFD6E4F0"/>
        </patternFill>
      </fill>
    </dxf>
    <dxf>
      <font>
        <b/>
        <color rgb="FF9C5700"/>
        <name val="Arial"/>
      </font>
      <fill>
        <patternFill patternType="solid">
          <fgColor rgb="FFFFEB9C"/>
        </patternFill>
      </fill>
    </dxf>
    <dxf>
      <font>
        <b/>
        <color rgb="FF9C5700"/>
        <name val="Arial"/>
      </font>
      <fill>
        <patternFill patternType="solid">
          <fgColor rgb="FFFFEB9C"/>
        </patternFill>
      </fill>
    </dxf>
    <dxf>
      <font>
        <b/>
        <color rgb="FF375623"/>
        <name val="Arial"/>
      </font>
      <fill>
        <patternFill patternType="solid">
          <fgColor rgb="FFC6EFCE"/>
        </patternFill>
      </fill>
    </dxf>
    <dxf>
      <font>
        <b/>
        <color rgb="FF276221"/>
        <name val="Arial"/>
      </font>
      <fill>
        <patternFill patternType="solid">
          <fgColor rgb="FFC6EFCE"/>
        </patternFill>
      </fill>
    </dxf>
    <dxf>
      <font>
        <b/>
        <color rgb="FFFFFFFF"/>
        <name val="Arial"/>
      </font>
      <fill>
        <patternFill patternType="solid">
          <fgColor rgb="FFFF4B4B"/>
        </patternFill>
      </fill>
    </dxf>
    <dxf>
      <font>
        <b/>
        <color rgb="FF1A1A2E"/>
        <name val="Arial"/>
      </font>
      <fill>
        <patternFill patternType="solid">
          <fgColor rgb="FFF2F2F2"/>
        </patternFill>
      </fill>
    </dxf>
    <dxf>
      <font>
        <b/>
        <color rgb="FF9C0006"/>
        <name val="Arial"/>
      </font>
      <fill>
        <patternFill patternType="solid">
          <fgColor rgb="FFFFC7CE"/>
        </patternFill>
      </fill>
    </dxf>
    <dxf>
      <font>
        <b/>
        <color rgb="FF2E74B5"/>
        <name val="Arial"/>
      </font>
      <fill>
        <patternFill patternType="solid">
          <fgColor rgb="FFD6E4F0"/>
        </patternFill>
      </fill>
    </dxf>
    <dxf>
      <font>
        <b/>
        <color rgb="FF9C5700"/>
        <name val="Arial"/>
      </font>
      <fill>
        <patternFill patternType="solid">
          <fgColor rgb="FFFFEB9C"/>
        </patternFill>
      </fill>
    </dxf>
    <dxf>
      <font>
        <b/>
        <color rgb="FF9C5700"/>
        <name val="Arial"/>
      </font>
      <fill>
        <patternFill patternType="solid">
          <fgColor rgb="FFFFEB9C"/>
        </patternFill>
      </fill>
    </dxf>
    <dxf>
      <font>
        <b/>
        <color rgb="FF375623"/>
        <name val="Arial"/>
      </font>
      <fill>
        <patternFill patternType="solid">
          <fgColor rgb="FFC6EFCE"/>
        </patternFill>
      </fill>
    </dxf>
    <dxf>
      <font>
        <b/>
        <color rgb="FF276221"/>
        <name val="Arial"/>
      </font>
      <fill>
        <patternFill patternType="solid">
          <fgColor rgb="FFC6EFCE"/>
        </patternFill>
      </fill>
    </dxf>
    <dxf>
      <font>
        <b/>
        <color rgb="FFFFFFFF"/>
        <name val="Arial"/>
      </font>
      <fill>
        <patternFill patternType="solid">
          <fgColor rgb="FFFF4B4B"/>
        </patternFill>
      </fill>
    </dxf>
    <dxf>
      <font>
        <b/>
        <color rgb="FF1A1A2E"/>
        <name val="Arial"/>
      </font>
      <fill>
        <patternFill patternType="solid">
          <fgColor rgb="FFF2F2F2"/>
        </patternFill>
      </fill>
    </dxf>
    <dxf>
      <font>
        <b/>
        <color rgb="FF9C0006"/>
        <name val="Arial"/>
      </font>
      <fill>
        <patternFill patternType="solid">
          <fgColor rgb="FFFFC7CE"/>
        </patternFill>
      </fill>
    </dxf>
    <dxf>
      <font>
        <b/>
        <color rgb="FF2E74B5"/>
        <name val="Arial"/>
      </font>
      <fill>
        <patternFill patternType="solid">
          <fgColor rgb="FFD6E4F0"/>
        </patternFill>
      </fill>
    </dxf>
    <dxf>
      <font>
        <b/>
        <color rgb="FF9C5700"/>
        <name val="Arial"/>
      </font>
      <fill>
        <patternFill patternType="solid">
          <fgColor rgb="FFFFEB9C"/>
        </patternFill>
      </fill>
    </dxf>
    <dxf>
      <font>
        <b/>
        <color rgb="FF9C5700"/>
        <name val="Arial"/>
      </font>
      <fill>
        <patternFill patternType="solid">
          <fgColor rgb="FFFFEB9C"/>
        </patternFill>
      </fill>
    </dxf>
    <dxf>
      <font>
        <b/>
        <color rgb="FF375623"/>
        <name val="Arial"/>
      </font>
      <fill>
        <patternFill patternType="solid">
          <fgColor rgb="FFC6EFCE"/>
        </patternFill>
      </fill>
    </dxf>
    <dxf>
      <font>
        <b/>
        <color rgb="FF276221"/>
        <name val="Arial"/>
      </font>
      <fill>
        <patternFill patternType="solid">
          <fgColor rgb="FFC6EFCE"/>
        </patternFill>
      </fill>
    </dxf>
    <dxf>
      <font>
        <b/>
        <color rgb="FFFFFFFF"/>
        <name val="Arial"/>
      </font>
      <fill>
        <patternFill patternType="solid">
          <fgColor rgb="FFFF4B4B"/>
        </patternFill>
      </fill>
    </dxf>
    <dxf>
      <font>
        <b/>
        <color rgb="FF1A1A2E"/>
        <name val="Arial"/>
      </font>
      <fill>
        <patternFill patternType="solid">
          <fgColor rgb="FFF2F2F2"/>
        </patternFill>
      </fill>
    </dxf>
    <dxf>
      <font>
        <b/>
        <color rgb="FF9C0006"/>
        <name val="Arial"/>
      </font>
      <fill>
        <patternFill patternType="solid">
          <fgColor rgb="FFFFC7CE"/>
        </patternFill>
      </fill>
    </dxf>
    <dxf>
      <font>
        <b/>
        <color rgb="FF2E74B5"/>
        <name val="Arial"/>
      </font>
      <fill>
        <patternFill patternType="solid">
          <fgColor rgb="FFD6E4F0"/>
        </patternFill>
      </fill>
    </dxf>
    <dxf>
      <font>
        <b/>
        <color rgb="FF9C5700"/>
        <name val="Arial"/>
      </font>
      <fill>
        <patternFill patternType="solid">
          <fgColor rgb="FFFFEB9C"/>
        </patternFill>
      </fill>
    </dxf>
    <dxf>
      <font>
        <b/>
        <color rgb="FF9C5700"/>
        <name val="Arial"/>
      </font>
      <fill>
        <patternFill patternType="solid">
          <fgColor rgb="FFFFEB9C"/>
        </patternFill>
      </fill>
    </dxf>
    <dxf>
      <font>
        <b/>
        <color rgb="FF375623"/>
        <name val="Arial"/>
      </font>
      <fill>
        <patternFill patternType="solid">
          <fgColor rgb="FFC6EFCE"/>
        </patternFill>
      </fill>
    </dxf>
    <dxf>
      <font>
        <b/>
        <color rgb="FF276221"/>
        <name val="Arial"/>
      </font>
      <fill>
        <patternFill patternType="solid">
          <fgColor rgb="FFC6EFCE"/>
        </patternFill>
      </fill>
    </dxf>
    <dxf>
      <font>
        <b/>
        <color rgb="FF1A1A2E"/>
        <name val="Arial"/>
      </font>
      <fill>
        <patternFill patternType="solid">
          <fgColor rgb="FFF2F2F2"/>
        </patternFill>
      </fill>
    </dxf>
    <dxf>
      <font>
        <b/>
        <color rgb="FF276221"/>
        <name val="Arial"/>
      </font>
      <fill>
        <patternFill patternType="solid">
          <fgColor rgb="FFC6EFCE"/>
        </patternFill>
      </fill>
    </dxf>
    <dxf>
      <font>
        <b/>
        <color rgb="FF9C5700"/>
        <name val="Arial"/>
      </font>
      <fill>
        <patternFill patternType="solid">
          <fgColor rgb="FFFFEB9C"/>
        </patternFill>
      </fill>
    </dxf>
    <dxf>
      <font>
        <b/>
        <color rgb="FF9C0006"/>
        <name val="Arial"/>
      </font>
      <fill>
        <patternFill patternType="solid">
          <fgColor rgb="FFFFC7CE"/>
        </patternFill>
      </fill>
    </dxf>
    <dxf>
      <font>
        <b/>
        <color rgb="FFFFFFFF"/>
        <name val="Arial"/>
      </font>
      <fill>
        <patternFill patternType="solid">
          <fgColor rgb="FFFF4B4B"/>
        </patternFill>
      </fill>
    </dxf>
    <dxf>
      <font>
        <b/>
        <color rgb="FFFFFFFF"/>
        <name val="Arial"/>
      </font>
      <fill>
        <patternFill patternType="solid">
          <fgColor rgb="FFFF4B4B"/>
        </patternFill>
      </fill>
    </dxf>
    <dxf>
      <font>
        <b/>
        <color rgb="FF1A1A2E"/>
        <name val="Arial"/>
      </font>
      <fill>
        <patternFill patternType="solid">
          <fgColor rgb="FFF2F2F2"/>
        </patternFill>
      </fill>
    </dxf>
    <dxf>
      <font>
        <b/>
        <color rgb="FF9C0006"/>
        <name val="Arial"/>
      </font>
      <fill>
        <patternFill patternType="solid">
          <fgColor rgb="FFFFC7CE"/>
        </patternFill>
      </fill>
    </dxf>
    <dxf>
      <font>
        <b/>
        <color rgb="FF2E74B5"/>
        <name val="Arial"/>
      </font>
      <fill>
        <patternFill patternType="solid">
          <fgColor rgb="FFD6E4F0"/>
        </patternFill>
      </fill>
    </dxf>
    <dxf>
      <font>
        <b/>
        <color rgb="FF9C5700"/>
        <name val="Arial"/>
      </font>
      <fill>
        <patternFill patternType="solid">
          <fgColor rgb="FFFFEB9C"/>
        </patternFill>
      </fill>
    </dxf>
    <dxf>
      <font>
        <b/>
        <color rgb="FF9C5700"/>
        <name val="Arial"/>
      </font>
      <fill>
        <patternFill patternType="solid">
          <fgColor rgb="FFFFEB9C"/>
        </patternFill>
      </fill>
    </dxf>
    <dxf>
      <font>
        <b/>
        <color rgb="FF375623"/>
        <name val="Arial"/>
      </font>
      <fill>
        <patternFill patternType="solid">
          <fgColor rgb="FFC6EFCE"/>
        </patternFill>
      </fill>
    </dxf>
    <dxf>
      <font>
        <b/>
        <color rgb="FF276221"/>
        <name val="Arial"/>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8</xdr:col>
      <xdr:colOff>923925</xdr:colOff>
      <xdr:row>7</xdr:row>
      <xdr:rowOff>200025</xdr:rowOff>
    </xdr:from>
    <xdr:to>
      <xdr:col>9</xdr:col>
      <xdr:colOff>742950</xdr:colOff>
      <xdr:row>8</xdr:row>
      <xdr:rowOff>457200</xdr:rowOff>
    </xdr:to>
    <xdr:sp macro="" textlink="">
      <xdr:nvSpPr>
        <xdr:cNvPr id="3" name="TextBox 2">
          <a:extLst>
            <a:ext uri="{FF2B5EF4-FFF2-40B4-BE49-F238E27FC236}">
              <a16:creationId xmlns:a16="http://schemas.microsoft.com/office/drawing/2014/main" id="{4DDE6129-3D88-A813-252D-174E7A32AFE4}"/>
            </a:ext>
          </a:extLst>
        </xdr:cNvPr>
        <xdr:cNvSpPr txBox="1"/>
      </xdr:nvSpPr>
      <xdr:spPr>
        <a:xfrm>
          <a:off x="8458200" y="3629025"/>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Prabh Nair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R31"/>
  <sheetViews>
    <sheetView tabSelected="1" workbookViewId="0">
      <pane ySplit="3" topLeftCell="A4" activePane="bottomLeft" state="frozen"/>
      <selection pane="bottomLeft" activeCell="E7" sqref="E7"/>
    </sheetView>
  </sheetViews>
  <sheetFormatPr defaultRowHeight="14.4" x14ac:dyDescent="0.3"/>
  <cols>
    <col min="1" max="1" width="6" customWidth="1"/>
    <col min="2" max="2" width="22" customWidth="1"/>
    <col min="3" max="3" width="18" customWidth="1"/>
    <col min="4" max="4" width="23.33203125" customWidth="1"/>
    <col min="5" max="6" width="12" customWidth="1"/>
    <col min="7" max="7" width="32.88671875" customWidth="1"/>
    <col min="8" max="8" width="14" customWidth="1"/>
    <col min="9" max="10" width="16" customWidth="1"/>
  </cols>
  <sheetData>
    <row r="1" spans="1:18" ht="52.05" customHeight="1" x14ac:dyDescent="0.3">
      <c r="A1" s="140" t="s">
        <v>0</v>
      </c>
      <c r="B1" s="131"/>
      <c r="C1" s="131"/>
      <c r="D1" s="131"/>
      <c r="E1" s="131"/>
      <c r="F1" s="131"/>
      <c r="G1" s="131"/>
      <c r="H1" s="131"/>
      <c r="I1" s="131"/>
      <c r="J1" s="131"/>
      <c r="K1" s="131"/>
      <c r="L1" s="131"/>
      <c r="M1" s="131"/>
      <c r="N1" s="131"/>
      <c r="O1" s="131"/>
      <c r="P1" s="131"/>
      <c r="Q1" s="131"/>
      <c r="R1" s="131"/>
    </row>
    <row r="2" spans="1:18" ht="19.95" customHeight="1" x14ac:dyDescent="0.3">
      <c r="A2" s="136" t="s">
        <v>1</v>
      </c>
      <c r="B2" s="131"/>
      <c r="C2" s="131"/>
      <c r="D2" s="131"/>
      <c r="E2" s="131"/>
      <c r="F2" s="131"/>
      <c r="G2" s="131"/>
      <c r="H2" s="131"/>
      <c r="I2" s="131"/>
      <c r="J2" s="131"/>
      <c r="K2" s="131"/>
      <c r="L2" s="131"/>
      <c r="M2" s="131"/>
      <c r="N2" s="131"/>
      <c r="O2" s="131"/>
      <c r="P2" s="131"/>
      <c r="Q2" s="131"/>
      <c r="R2" s="131"/>
    </row>
    <row r="3" spans="1:18" ht="18" customHeight="1" x14ac:dyDescent="0.3">
      <c r="A3" s="134" t="s">
        <v>2</v>
      </c>
      <c r="B3" s="131"/>
      <c r="C3" s="131"/>
      <c r="D3" s="131"/>
      <c r="E3" s="131"/>
      <c r="F3" s="131"/>
      <c r="G3" s="131"/>
      <c r="H3" s="131"/>
      <c r="I3" s="131"/>
      <c r="J3" s="131"/>
      <c r="K3" s="131"/>
      <c r="L3" s="131"/>
      <c r="M3" s="131"/>
      <c r="N3" s="131"/>
      <c r="O3" s="131"/>
      <c r="P3" s="131"/>
      <c r="Q3" s="131"/>
      <c r="R3" s="131"/>
    </row>
    <row r="4" spans="1:18" ht="25.95" customHeight="1" x14ac:dyDescent="0.3">
      <c r="A4" s="1" t="s">
        <v>3</v>
      </c>
      <c r="B4" s="1" t="s">
        <v>4</v>
      </c>
      <c r="C4" s="1" t="s">
        <v>5</v>
      </c>
      <c r="D4" s="2" t="s">
        <v>6</v>
      </c>
      <c r="E4" s="2" t="s">
        <v>7</v>
      </c>
      <c r="F4" s="2" t="s">
        <v>8</v>
      </c>
      <c r="G4" s="3" t="s">
        <v>9</v>
      </c>
      <c r="H4" s="4" t="s">
        <v>10</v>
      </c>
    </row>
    <row r="5" spans="1:18" ht="52.05" customHeight="1" x14ac:dyDescent="0.3">
      <c r="A5" s="5">
        <v>1</v>
      </c>
      <c r="B5" s="6" t="s">
        <v>11</v>
      </c>
      <c r="C5" s="7" t="s">
        <v>12</v>
      </c>
      <c r="D5" s="8" t="s">
        <v>13</v>
      </c>
      <c r="E5" s="9" t="s">
        <v>14</v>
      </c>
      <c r="F5" s="8" t="s">
        <v>15</v>
      </c>
      <c r="G5" s="10" t="s">
        <v>16</v>
      </c>
      <c r="H5" s="11" t="s">
        <v>17</v>
      </c>
    </row>
    <row r="6" spans="1:18" ht="52.05" customHeight="1" x14ac:dyDescent="0.3">
      <c r="A6" s="12">
        <v>2</v>
      </c>
      <c r="B6" s="13" t="s">
        <v>18</v>
      </c>
      <c r="C6" s="14" t="s">
        <v>19</v>
      </c>
      <c r="D6" s="8" t="s">
        <v>20</v>
      </c>
      <c r="E6" s="9" t="s">
        <v>21</v>
      </c>
      <c r="F6" s="8" t="s">
        <v>22</v>
      </c>
      <c r="G6" s="10" t="s">
        <v>23</v>
      </c>
      <c r="H6" s="11" t="s">
        <v>24</v>
      </c>
    </row>
    <row r="7" spans="1:18" ht="52.05" customHeight="1" x14ac:dyDescent="0.3">
      <c r="A7" s="15">
        <v>3</v>
      </c>
      <c r="B7" s="16" t="s">
        <v>25</v>
      </c>
      <c r="C7" s="17" t="s">
        <v>26</v>
      </c>
      <c r="D7" s="8" t="s">
        <v>27</v>
      </c>
      <c r="E7" s="9" t="s">
        <v>28</v>
      </c>
      <c r="F7" s="8" t="s">
        <v>29</v>
      </c>
      <c r="G7" s="10" t="s">
        <v>30</v>
      </c>
      <c r="H7" s="11" t="s">
        <v>31</v>
      </c>
    </row>
    <row r="8" spans="1:18" ht="52.05" customHeight="1" x14ac:dyDescent="0.3">
      <c r="A8" s="18">
        <v>4</v>
      </c>
      <c r="B8" s="19" t="s">
        <v>32</v>
      </c>
      <c r="C8" s="20" t="s">
        <v>33</v>
      </c>
      <c r="D8" s="8" t="s">
        <v>34</v>
      </c>
      <c r="E8" s="9" t="s">
        <v>35</v>
      </c>
      <c r="F8" s="8" t="s">
        <v>36</v>
      </c>
      <c r="G8" s="10" t="s">
        <v>37</v>
      </c>
      <c r="H8" s="11" t="s">
        <v>38</v>
      </c>
    </row>
    <row r="9" spans="1:18" ht="52.05" customHeight="1" x14ac:dyDescent="0.3">
      <c r="A9" s="21">
        <v>5</v>
      </c>
      <c r="B9" s="22" t="s">
        <v>39</v>
      </c>
      <c r="C9" s="23" t="s">
        <v>40</v>
      </c>
      <c r="D9" s="8" t="s">
        <v>41</v>
      </c>
      <c r="E9" s="9" t="s">
        <v>42</v>
      </c>
      <c r="F9" s="8" t="s">
        <v>43</v>
      </c>
      <c r="G9" s="10" t="s">
        <v>44</v>
      </c>
      <c r="H9" s="11" t="s">
        <v>45</v>
      </c>
    </row>
    <row r="10" spans="1:18" ht="52.05" customHeight="1" x14ac:dyDescent="0.3">
      <c r="A10" s="24">
        <v>6</v>
      </c>
      <c r="B10" s="25" t="s">
        <v>46</v>
      </c>
      <c r="C10" s="26" t="s">
        <v>47</v>
      </c>
      <c r="D10" s="8" t="s">
        <v>48</v>
      </c>
      <c r="E10" s="9" t="s">
        <v>49</v>
      </c>
      <c r="F10" s="8" t="s">
        <v>50</v>
      </c>
      <c r="G10" s="10" t="s">
        <v>51</v>
      </c>
      <c r="H10" s="11" t="s">
        <v>52</v>
      </c>
    </row>
    <row r="12" spans="1:18" ht="28.05" customHeight="1" x14ac:dyDescent="0.3">
      <c r="A12" s="137" t="s">
        <v>53</v>
      </c>
      <c r="B12" s="131"/>
      <c r="C12" s="131"/>
      <c r="D12" s="131"/>
      <c r="E12" s="131"/>
      <c r="F12" s="131"/>
      <c r="G12" s="131"/>
      <c r="H12" s="131"/>
    </row>
    <row r="14" spans="1:18" ht="19.95" customHeight="1" x14ac:dyDescent="0.3">
      <c r="A14" s="139" t="s">
        <v>54</v>
      </c>
      <c r="B14" s="131"/>
      <c r="C14" s="131"/>
      <c r="D14" s="131"/>
      <c r="E14" s="131"/>
      <c r="F14" s="131"/>
      <c r="G14" s="131"/>
      <c r="H14" s="131"/>
    </row>
    <row r="15" spans="1:18" x14ac:dyDescent="0.3">
      <c r="A15" s="132" t="s">
        <v>55</v>
      </c>
      <c r="B15" s="133"/>
      <c r="C15" s="27" t="s">
        <v>11</v>
      </c>
      <c r="D15" s="28" t="s">
        <v>18</v>
      </c>
      <c r="E15" s="29" t="s">
        <v>25</v>
      </c>
      <c r="F15" s="30" t="s">
        <v>32</v>
      </c>
      <c r="G15" s="31" t="s">
        <v>39</v>
      </c>
      <c r="H15" s="32" t="s">
        <v>46</v>
      </c>
    </row>
    <row r="16" spans="1:18" ht="19.95" customHeight="1" x14ac:dyDescent="0.3">
      <c r="A16" s="130" t="s">
        <v>56</v>
      </c>
      <c r="B16" s="131"/>
      <c r="C16" s="34" t="s">
        <v>57</v>
      </c>
      <c r="D16" s="34" t="s">
        <v>57</v>
      </c>
      <c r="E16" s="34" t="s">
        <v>57</v>
      </c>
      <c r="F16" s="34" t="s">
        <v>57</v>
      </c>
      <c r="G16" s="34" t="s">
        <v>57</v>
      </c>
      <c r="H16" s="34" t="s">
        <v>57</v>
      </c>
    </row>
    <row r="17" spans="1:12" ht="19.95" customHeight="1" x14ac:dyDescent="0.3">
      <c r="A17" s="135" t="s">
        <v>58</v>
      </c>
      <c r="B17" s="131"/>
      <c r="C17" s="34" t="s">
        <v>57</v>
      </c>
      <c r="D17" s="34" t="s">
        <v>57</v>
      </c>
      <c r="E17" s="34" t="s">
        <v>57</v>
      </c>
      <c r="F17" s="34" t="s">
        <v>57</v>
      </c>
      <c r="G17" s="34" t="s">
        <v>57</v>
      </c>
      <c r="H17" s="34" t="s">
        <v>57</v>
      </c>
    </row>
    <row r="18" spans="1:12" ht="19.95" customHeight="1" x14ac:dyDescent="0.3">
      <c r="A18" s="130" t="s">
        <v>59</v>
      </c>
      <c r="B18" s="131"/>
      <c r="C18" s="34" t="s">
        <v>57</v>
      </c>
      <c r="D18" s="34" t="s">
        <v>57</v>
      </c>
      <c r="E18" s="34" t="s">
        <v>57</v>
      </c>
      <c r="F18" s="34" t="s">
        <v>57</v>
      </c>
      <c r="G18" s="34" t="s">
        <v>57</v>
      </c>
      <c r="H18" s="34" t="s">
        <v>57</v>
      </c>
    </row>
    <row r="19" spans="1:12" ht="19.95" customHeight="1" x14ac:dyDescent="0.3">
      <c r="A19" s="135" t="s">
        <v>60</v>
      </c>
      <c r="B19" s="131"/>
      <c r="C19" s="34" t="s">
        <v>57</v>
      </c>
      <c r="D19" s="34" t="s">
        <v>57</v>
      </c>
      <c r="E19" s="34" t="s">
        <v>57</v>
      </c>
      <c r="F19" s="34" t="s">
        <v>57</v>
      </c>
      <c r="G19" s="34" t="s">
        <v>57</v>
      </c>
      <c r="H19" s="34" t="s">
        <v>57</v>
      </c>
    </row>
    <row r="20" spans="1:12" ht="19.95" customHeight="1" x14ac:dyDescent="0.3">
      <c r="A20" s="130" t="s">
        <v>61</v>
      </c>
      <c r="B20" s="131"/>
      <c r="C20" s="34" t="s">
        <v>57</v>
      </c>
      <c r="D20" s="34" t="s">
        <v>57</v>
      </c>
      <c r="E20" s="34" t="s">
        <v>57</v>
      </c>
      <c r="F20" s="34" t="s">
        <v>57</v>
      </c>
      <c r="G20" s="34" t="s">
        <v>57</v>
      </c>
      <c r="H20" s="34" t="s">
        <v>57</v>
      </c>
    </row>
    <row r="21" spans="1:12" ht="19.95" customHeight="1" x14ac:dyDescent="0.3">
      <c r="A21" s="135" t="s">
        <v>62</v>
      </c>
      <c r="B21" s="131"/>
      <c r="C21" s="34" t="s">
        <v>57</v>
      </c>
      <c r="D21" s="34" t="s">
        <v>57</v>
      </c>
      <c r="E21" s="34" t="s">
        <v>57</v>
      </c>
      <c r="F21" s="34" t="s">
        <v>57</v>
      </c>
      <c r="G21" s="34" t="s">
        <v>57</v>
      </c>
      <c r="H21" s="34" t="s">
        <v>57</v>
      </c>
    </row>
    <row r="22" spans="1:12" ht="19.95" customHeight="1" x14ac:dyDescent="0.3">
      <c r="A22" s="130" t="s">
        <v>63</v>
      </c>
      <c r="B22" s="131"/>
      <c r="C22" s="36" t="s">
        <v>64</v>
      </c>
      <c r="D22" s="34" t="s">
        <v>57</v>
      </c>
      <c r="E22" s="34" t="s">
        <v>57</v>
      </c>
      <c r="F22" s="34" t="s">
        <v>57</v>
      </c>
      <c r="G22" s="34" t="s">
        <v>57</v>
      </c>
      <c r="H22" s="36" t="s">
        <v>64</v>
      </c>
    </row>
    <row r="23" spans="1:12" ht="19.95" customHeight="1" x14ac:dyDescent="0.3">
      <c r="A23" s="135" t="s">
        <v>65</v>
      </c>
      <c r="B23" s="131"/>
      <c r="C23" s="36" t="s">
        <v>64</v>
      </c>
      <c r="D23" s="34" t="s">
        <v>57</v>
      </c>
      <c r="E23" s="34" t="s">
        <v>57</v>
      </c>
      <c r="F23" s="34" t="s">
        <v>57</v>
      </c>
      <c r="G23" s="34" t="s">
        <v>57</v>
      </c>
      <c r="H23" s="36" t="s">
        <v>64</v>
      </c>
    </row>
    <row r="24" spans="1:12" ht="19.95" customHeight="1" x14ac:dyDescent="0.3">
      <c r="A24" s="130" t="s">
        <v>66</v>
      </c>
      <c r="B24" s="131"/>
      <c r="C24" s="36" t="s">
        <v>64</v>
      </c>
      <c r="D24" s="34" t="s">
        <v>57</v>
      </c>
      <c r="E24" s="34" t="s">
        <v>57</v>
      </c>
      <c r="F24" s="34" t="s">
        <v>57</v>
      </c>
      <c r="G24" s="34" t="s">
        <v>57</v>
      </c>
      <c r="H24" s="36" t="s">
        <v>64</v>
      </c>
    </row>
    <row r="25" spans="1:12" ht="19.95" customHeight="1" x14ac:dyDescent="0.3">
      <c r="A25" s="135" t="s">
        <v>67</v>
      </c>
      <c r="B25" s="131"/>
      <c r="C25" s="34" t="s">
        <v>57</v>
      </c>
      <c r="D25" s="36" t="s">
        <v>64</v>
      </c>
      <c r="E25" s="34" t="s">
        <v>57</v>
      </c>
      <c r="F25" s="34" t="s">
        <v>57</v>
      </c>
      <c r="G25" s="36" t="s">
        <v>64</v>
      </c>
      <c r="H25" s="34" t="s">
        <v>57</v>
      </c>
    </row>
    <row r="26" spans="1:12" ht="19.95" customHeight="1" x14ac:dyDescent="0.3">
      <c r="A26" s="130" t="s">
        <v>68</v>
      </c>
      <c r="B26" s="131"/>
      <c r="C26" s="34" t="s">
        <v>57</v>
      </c>
      <c r="D26" s="36" t="s">
        <v>64</v>
      </c>
      <c r="E26" s="34" t="s">
        <v>57</v>
      </c>
      <c r="F26" s="34" t="s">
        <v>57</v>
      </c>
      <c r="G26" s="36" t="s">
        <v>64</v>
      </c>
      <c r="H26" s="36" t="s">
        <v>64</v>
      </c>
    </row>
    <row r="27" spans="1:12" ht="19.95" customHeight="1" x14ac:dyDescent="0.3">
      <c r="A27" s="135" t="s">
        <v>69</v>
      </c>
      <c r="B27" s="131"/>
      <c r="C27" s="34" t="s">
        <v>57</v>
      </c>
      <c r="D27" s="36" t="s">
        <v>64</v>
      </c>
      <c r="E27" s="36" t="s">
        <v>64</v>
      </c>
      <c r="F27" s="36" t="s">
        <v>64</v>
      </c>
      <c r="G27" s="36" t="s">
        <v>64</v>
      </c>
      <c r="H27" s="36" t="s">
        <v>64</v>
      </c>
    </row>
    <row r="28" spans="1:12" ht="19.95" customHeight="1" x14ac:dyDescent="0.3">
      <c r="A28" s="130" t="s">
        <v>70</v>
      </c>
      <c r="B28" s="131"/>
      <c r="C28" s="36" t="s">
        <v>64</v>
      </c>
      <c r="D28" s="36" t="s">
        <v>64</v>
      </c>
      <c r="E28" s="36" t="s">
        <v>64</v>
      </c>
      <c r="F28" s="36" t="s">
        <v>64</v>
      </c>
      <c r="G28" s="36" t="s">
        <v>64</v>
      </c>
      <c r="H28" s="34" t="s">
        <v>57</v>
      </c>
    </row>
    <row r="29" spans="1:12" ht="19.95" customHeight="1" x14ac:dyDescent="0.3">
      <c r="A29" s="135" t="s">
        <v>71</v>
      </c>
      <c r="B29" s="131"/>
      <c r="C29" s="36" t="s">
        <v>64</v>
      </c>
      <c r="D29" s="34" t="s">
        <v>57</v>
      </c>
      <c r="E29" s="34" t="s">
        <v>57</v>
      </c>
      <c r="F29" s="34" t="s">
        <v>57</v>
      </c>
      <c r="G29" s="34" t="s">
        <v>57</v>
      </c>
      <c r="H29" s="36" t="s">
        <v>64</v>
      </c>
    </row>
    <row r="31" spans="1:12" x14ac:dyDescent="0.3">
      <c r="A31" s="138" t="s">
        <v>72</v>
      </c>
      <c r="B31" s="131"/>
      <c r="C31" s="131"/>
      <c r="D31" s="131"/>
      <c r="E31" s="131"/>
      <c r="F31" s="131"/>
      <c r="G31" s="131"/>
      <c r="H31" s="131"/>
      <c r="I31" s="131"/>
      <c r="J31" s="131"/>
      <c r="K31" s="131"/>
      <c r="L31" s="131"/>
    </row>
  </sheetData>
  <mergeCells count="21">
    <mergeCell ref="A1:R1"/>
    <mergeCell ref="A31:L31"/>
    <mergeCell ref="A14:H14"/>
    <mergeCell ref="A23:B23"/>
    <mergeCell ref="A17:B17"/>
    <mergeCell ref="A22:B22"/>
    <mergeCell ref="A20:B20"/>
    <mergeCell ref="A29:B29"/>
    <mergeCell ref="A19:B19"/>
    <mergeCell ref="A28:B28"/>
    <mergeCell ref="A2:R2"/>
    <mergeCell ref="A18:B18"/>
    <mergeCell ref="A27:B27"/>
    <mergeCell ref="A12:H12"/>
    <mergeCell ref="A26:B26"/>
    <mergeCell ref="A21:B21"/>
    <mergeCell ref="A24:B24"/>
    <mergeCell ref="A15:B15"/>
    <mergeCell ref="A3:R3"/>
    <mergeCell ref="A16:B16"/>
    <mergeCell ref="A25:B25"/>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4B5"/>
  </sheetPr>
  <dimension ref="A1:T113"/>
  <sheetViews>
    <sheetView workbookViewId="0">
      <pane ySplit="5" topLeftCell="A75" activePane="bottomLeft" state="frozen"/>
      <selection pane="bottomLeft" sqref="A1:R1"/>
    </sheetView>
  </sheetViews>
  <sheetFormatPr defaultRowHeight="14.4" x14ac:dyDescent="0.3"/>
  <cols>
    <col min="1" max="1" width="6" customWidth="1"/>
    <col min="2" max="2" width="22" customWidth="1"/>
    <col min="3" max="3" width="40" customWidth="1"/>
    <col min="4" max="11" width="12" customWidth="1"/>
    <col min="12" max="18" width="18" customWidth="1"/>
    <col min="19" max="20" width="20" customWidth="1"/>
  </cols>
  <sheetData>
    <row r="1" spans="1:20" ht="52.05" customHeight="1" x14ac:dyDescent="0.3">
      <c r="A1" s="140" t="s">
        <v>73</v>
      </c>
      <c r="B1" s="131"/>
      <c r="C1" s="131"/>
      <c r="D1" s="131"/>
      <c r="E1" s="131"/>
      <c r="F1" s="131"/>
      <c r="G1" s="131"/>
      <c r="H1" s="131"/>
      <c r="I1" s="131"/>
      <c r="J1" s="131"/>
      <c r="K1" s="131"/>
      <c r="L1" s="131"/>
      <c r="M1" s="131"/>
      <c r="N1" s="131"/>
      <c r="O1" s="131"/>
      <c r="P1" s="131"/>
      <c r="Q1" s="131"/>
      <c r="R1" s="131"/>
    </row>
    <row r="2" spans="1:20" ht="19.95" customHeight="1" x14ac:dyDescent="0.3">
      <c r="A2" s="136" t="s">
        <v>74</v>
      </c>
      <c r="B2" s="131"/>
      <c r="C2" s="131"/>
      <c r="D2" s="131"/>
      <c r="E2" s="131"/>
      <c r="F2" s="131"/>
      <c r="G2" s="131"/>
      <c r="H2" s="131"/>
      <c r="I2" s="131"/>
      <c r="J2" s="131"/>
      <c r="K2" s="131"/>
      <c r="L2" s="131"/>
      <c r="M2" s="131"/>
      <c r="N2" s="131"/>
      <c r="O2" s="131"/>
      <c r="P2" s="131"/>
      <c r="Q2" s="131"/>
      <c r="R2" s="131"/>
    </row>
    <row r="3" spans="1:20" ht="18" customHeight="1" x14ac:dyDescent="0.3">
      <c r="A3" s="134" t="s">
        <v>75</v>
      </c>
      <c r="B3" s="131"/>
      <c r="C3" s="131"/>
      <c r="D3" s="131"/>
      <c r="E3" s="131"/>
      <c r="F3" s="131"/>
      <c r="G3" s="131"/>
      <c r="H3" s="131"/>
      <c r="I3" s="131"/>
      <c r="J3" s="131"/>
      <c r="K3" s="131"/>
      <c r="L3" s="131"/>
      <c r="M3" s="131"/>
      <c r="N3" s="131"/>
      <c r="O3" s="131"/>
      <c r="P3" s="131"/>
      <c r="Q3" s="131"/>
      <c r="R3" s="131"/>
    </row>
    <row r="4" spans="1:20" ht="22.05" customHeight="1" x14ac:dyDescent="0.3">
      <c r="A4" s="141" t="s">
        <v>76</v>
      </c>
      <c r="B4" s="131"/>
      <c r="C4" s="131"/>
      <c r="D4" s="131"/>
      <c r="E4" s="131"/>
      <c r="F4" s="143" t="s">
        <v>77</v>
      </c>
      <c r="G4" s="131"/>
      <c r="H4" s="131"/>
      <c r="I4" s="131"/>
      <c r="J4" s="131"/>
      <c r="K4" s="131"/>
      <c r="L4" s="144" t="s">
        <v>78</v>
      </c>
      <c r="M4" s="131"/>
      <c r="N4" s="131"/>
      <c r="O4" s="131"/>
      <c r="P4" s="131"/>
      <c r="Q4" s="131"/>
      <c r="R4" s="142" t="s">
        <v>79</v>
      </c>
      <c r="S4" s="131"/>
      <c r="T4" s="131"/>
    </row>
    <row r="5" spans="1:20" ht="46.05" customHeight="1" x14ac:dyDescent="0.3">
      <c r="A5" s="1" t="s">
        <v>3</v>
      </c>
      <c r="B5" s="1" t="s">
        <v>80</v>
      </c>
      <c r="C5" s="1" t="s">
        <v>81</v>
      </c>
      <c r="D5" s="1" t="s">
        <v>82</v>
      </c>
      <c r="E5" s="1" t="s">
        <v>83</v>
      </c>
      <c r="F5" s="27" t="s">
        <v>11</v>
      </c>
      <c r="G5" s="28" t="s">
        <v>18</v>
      </c>
      <c r="H5" s="29" t="s">
        <v>25</v>
      </c>
      <c r="I5" s="30" t="s">
        <v>32</v>
      </c>
      <c r="J5" s="31" t="s">
        <v>39</v>
      </c>
      <c r="K5" s="32" t="s">
        <v>46</v>
      </c>
      <c r="L5" s="37" t="s">
        <v>84</v>
      </c>
      <c r="M5" s="37" t="s">
        <v>85</v>
      </c>
      <c r="N5" s="37" t="s">
        <v>86</v>
      </c>
      <c r="O5" s="37" t="s">
        <v>87</v>
      </c>
      <c r="P5" s="37" t="s">
        <v>88</v>
      </c>
      <c r="Q5" s="37" t="s">
        <v>89</v>
      </c>
      <c r="R5" s="4" t="s">
        <v>90</v>
      </c>
      <c r="S5" s="4" t="s">
        <v>91</v>
      </c>
      <c r="T5" s="4" t="s">
        <v>92</v>
      </c>
    </row>
    <row r="6" spans="1:20" ht="34.049999999999997" customHeight="1" x14ac:dyDescent="0.3">
      <c r="A6" s="38">
        <v>1</v>
      </c>
      <c r="B6" s="33" t="s">
        <v>93</v>
      </c>
      <c r="C6" s="39" t="s">
        <v>94</v>
      </c>
      <c r="D6" s="40" t="s">
        <v>95</v>
      </c>
      <c r="E6" s="41" t="s">
        <v>96</v>
      </c>
      <c r="F6" s="42" t="s">
        <v>57</v>
      </c>
      <c r="G6" s="43" t="s">
        <v>57</v>
      </c>
      <c r="H6" s="44" t="s">
        <v>57</v>
      </c>
      <c r="I6" s="45" t="s">
        <v>57</v>
      </c>
      <c r="J6" s="46" t="s">
        <v>57</v>
      </c>
      <c r="K6" s="47" t="s">
        <v>57</v>
      </c>
      <c r="L6" s="48" t="s">
        <v>97</v>
      </c>
      <c r="M6" s="48" t="s">
        <v>98</v>
      </c>
      <c r="N6" s="48" t="s">
        <v>99</v>
      </c>
      <c r="O6" s="48" t="s">
        <v>100</v>
      </c>
      <c r="P6" s="48" t="s">
        <v>101</v>
      </c>
      <c r="Q6" s="48" t="s">
        <v>102</v>
      </c>
      <c r="R6" s="49" t="s">
        <v>103</v>
      </c>
      <c r="S6" s="49" t="s">
        <v>104</v>
      </c>
      <c r="T6" s="39"/>
    </row>
    <row r="7" spans="1:20" ht="34.049999999999997" customHeight="1" x14ac:dyDescent="0.3">
      <c r="A7" s="50">
        <v>2</v>
      </c>
      <c r="B7" s="35" t="s">
        <v>93</v>
      </c>
      <c r="C7" s="8" t="s">
        <v>105</v>
      </c>
      <c r="D7" s="51" t="s">
        <v>106</v>
      </c>
      <c r="E7" s="41" t="s">
        <v>96</v>
      </c>
      <c r="F7" s="42" t="s">
        <v>57</v>
      </c>
      <c r="G7" s="43" t="s">
        <v>57</v>
      </c>
      <c r="H7" s="44" t="s">
        <v>57</v>
      </c>
      <c r="I7" s="45" t="s">
        <v>57</v>
      </c>
      <c r="J7" s="46" t="s">
        <v>57</v>
      </c>
      <c r="K7" s="47" t="s">
        <v>57</v>
      </c>
      <c r="L7" s="52" t="s">
        <v>97</v>
      </c>
      <c r="M7" s="52" t="s">
        <v>98</v>
      </c>
      <c r="N7" s="52" t="s">
        <v>107</v>
      </c>
      <c r="O7" s="52" t="s">
        <v>108</v>
      </c>
      <c r="P7" s="52" t="s">
        <v>101</v>
      </c>
      <c r="Q7" s="52" t="s">
        <v>102</v>
      </c>
      <c r="R7" s="49" t="s">
        <v>103</v>
      </c>
      <c r="S7" s="49" t="s">
        <v>104</v>
      </c>
      <c r="T7" s="8"/>
    </row>
    <row r="8" spans="1:20" ht="34.049999999999997" customHeight="1" x14ac:dyDescent="0.3">
      <c r="A8" s="38">
        <v>3</v>
      </c>
      <c r="B8" s="33" t="s">
        <v>93</v>
      </c>
      <c r="C8" s="39" t="s">
        <v>109</v>
      </c>
      <c r="D8" s="40" t="s">
        <v>110</v>
      </c>
      <c r="E8" s="53" t="s">
        <v>111</v>
      </c>
      <c r="F8" s="42" t="s">
        <v>57</v>
      </c>
      <c r="G8" s="43" t="s">
        <v>57</v>
      </c>
      <c r="H8" s="44" t="s">
        <v>57</v>
      </c>
      <c r="I8" s="45" t="s">
        <v>57</v>
      </c>
      <c r="J8" s="46" t="s">
        <v>57</v>
      </c>
      <c r="K8" s="47" t="s">
        <v>57</v>
      </c>
      <c r="L8" s="48" t="s">
        <v>97</v>
      </c>
      <c r="M8" s="48" t="s">
        <v>112</v>
      </c>
      <c r="N8" s="48" t="s">
        <v>113</v>
      </c>
      <c r="O8" s="48" t="s">
        <v>114</v>
      </c>
      <c r="P8" s="48" t="s">
        <v>115</v>
      </c>
      <c r="Q8" s="48" t="s">
        <v>116</v>
      </c>
      <c r="R8" s="49" t="s">
        <v>103</v>
      </c>
      <c r="S8" s="49" t="s">
        <v>104</v>
      </c>
      <c r="T8" s="39"/>
    </row>
    <row r="9" spans="1:20" ht="34.049999999999997" customHeight="1" x14ac:dyDescent="0.3">
      <c r="A9" s="50">
        <v>4</v>
      </c>
      <c r="B9" s="35" t="s">
        <v>93</v>
      </c>
      <c r="C9" s="8" t="s">
        <v>117</v>
      </c>
      <c r="D9" s="51" t="s">
        <v>118</v>
      </c>
      <c r="E9" s="53" t="s">
        <v>111</v>
      </c>
      <c r="F9" s="42" t="s">
        <v>57</v>
      </c>
      <c r="G9" s="43" t="s">
        <v>57</v>
      </c>
      <c r="H9" s="44" t="s">
        <v>57</v>
      </c>
      <c r="I9" s="45" t="s">
        <v>57</v>
      </c>
      <c r="J9" s="46" t="s">
        <v>57</v>
      </c>
      <c r="K9" s="47" t="s">
        <v>57</v>
      </c>
      <c r="L9" s="52" t="s">
        <v>97</v>
      </c>
      <c r="M9" s="52" t="s">
        <v>98</v>
      </c>
      <c r="N9" s="52" t="s">
        <v>107</v>
      </c>
      <c r="O9" s="52" t="s">
        <v>100</v>
      </c>
      <c r="P9" s="52" t="s">
        <v>101</v>
      </c>
      <c r="Q9" s="52" t="s">
        <v>119</v>
      </c>
      <c r="R9" s="49" t="s">
        <v>103</v>
      </c>
      <c r="S9" s="49" t="s">
        <v>104</v>
      </c>
      <c r="T9" s="8"/>
    </row>
    <row r="10" spans="1:20" ht="34.049999999999997" customHeight="1" x14ac:dyDescent="0.3">
      <c r="A10" s="38">
        <v>5</v>
      </c>
      <c r="B10" s="33" t="s">
        <v>93</v>
      </c>
      <c r="C10" s="39" t="s">
        <v>120</v>
      </c>
      <c r="D10" s="40" t="s">
        <v>121</v>
      </c>
      <c r="E10" s="53" t="s">
        <v>111</v>
      </c>
      <c r="F10" s="42" t="s">
        <v>57</v>
      </c>
      <c r="G10" s="43" t="s">
        <v>57</v>
      </c>
      <c r="H10" s="44" t="s">
        <v>57</v>
      </c>
      <c r="I10" s="45" t="s">
        <v>57</v>
      </c>
      <c r="J10" s="46" t="s">
        <v>57</v>
      </c>
      <c r="K10" s="47" t="s">
        <v>57</v>
      </c>
      <c r="L10" s="48" t="s">
        <v>122</v>
      </c>
      <c r="M10" s="48" t="s">
        <v>123</v>
      </c>
      <c r="N10" s="48" t="s">
        <v>124</v>
      </c>
      <c r="O10" s="48" t="s">
        <v>125</v>
      </c>
      <c r="P10" s="48" t="s">
        <v>126</v>
      </c>
      <c r="Q10" s="48" t="s">
        <v>127</v>
      </c>
      <c r="R10" s="49" t="s">
        <v>103</v>
      </c>
      <c r="S10" s="49" t="s">
        <v>104</v>
      </c>
      <c r="T10" s="39"/>
    </row>
    <row r="11" spans="1:20" ht="34.049999999999997" customHeight="1" x14ac:dyDescent="0.3">
      <c r="A11" s="50">
        <v>6</v>
      </c>
      <c r="B11" s="35" t="s">
        <v>93</v>
      </c>
      <c r="C11" s="8" t="s">
        <v>128</v>
      </c>
      <c r="D11" s="51" t="s">
        <v>129</v>
      </c>
      <c r="E11" s="53" t="s">
        <v>111</v>
      </c>
      <c r="F11" s="54" t="s">
        <v>64</v>
      </c>
      <c r="G11" s="54" t="s">
        <v>64</v>
      </c>
      <c r="H11" s="54" t="s">
        <v>64</v>
      </c>
      <c r="I11" s="54" t="s">
        <v>64</v>
      </c>
      <c r="J11" s="46" t="s">
        <v>57</v>
      </c>
      <c r="K11" s="47" t="s">
        <v>57</v>
      </c>
      <c r="L11" s="52" t="s">
        <v>64</v>
      </c>
      <c r="M11" s="52" t="s">
        <v>64</v>
      </c>
      <c r="N11" s="52" t="s">
        <v>64</v>
      </c>
      <c r="O11" s="52" t="s">
        <v>64</v>
      </c>
      <c r="P11" s="52" t="s">
        <v>101</v>
      </c>
      <c r="Q11" s="52" t="s">
        <v>130</v>
      </c>
      <c r="R11" s="49" t="s">
        <v>103</v>
      </c>
      <c r="S11" s="49" t="s">
        <v>104</v>
      </c>
      <c r="T11" s="8"/>
    </row>
    <row r="12" spans="1:20" ht="34.049999999999997" customHeight="1" x14ac:dyDescent="0.3">
      <c r="A12" s="38">
        <v>7</v>
      </c>
      <c r="B12" s="33" t="s">
        <v>93</v>
      </c>
      <c r="C12" s="39" t="s">
        <v>131</v>
      </c>
      <c r="D12" s="40" t="s">
        <v>132</v>
      </c>
      <c r="E12" s="53" t="s">
        <v>111</v>
      </c>
      <c r="F12" s="42" t="s">
        <v>57</v>
      </c>
      <c r="G12" s="43" t="s">
        <v>57</v>
      </c>
      <c r="H12" s="44" t="s">
        <v>57</v>
      </c>
      <c r="I12" s="45" t="s">
        <v>57</v>
      </c>
      <c r="J12" s="46" t="s">
        <v>57</v>
      </c>
      <c r="K12" s="47" t="s">
        <v>57</v>
      </c>
      <c r="L12" s="48" t="s">
        <v>97</v>
      </c>
      <c r="M12" s="48" t="s">
        <v>98</v>
      </c>
      <c r="N12" s="48" t="s">
        <v>133</v>
      </c>
      <c r="O12" s="48" t="s">
        <v>134</v>
      </c>
      <c r="P12" s="48" t="s">
        <v>135</v>
      </c>
      <c r="Q12" s="48" t="s">
        <v>102</v>
      </c>
      <c r="R12" s="49" t="s">
        <v>103</v>
      </c>
      <c r="S12" s="49" t="s">
        <v>104</v>
      </c>
      <c r="T12" s="39"/>
    </row>
    <row r="13" spans="1:20" ht="34.049999999999997" customHeight="1" x14ac:dyDescent="0.3">
      <c r="A13" s="50">
        <v>8</v>
      </c>
      <c r="B13" s="35" t="s">
        <v>93</v>
      </c>
      <c r="C13" s="8" t="s">
        <v>136</v>
      </c>
      <c r="D13" s="51" t="s">
        <v>137</v>
      </c>
      <c r="E13" s="53" t="s">
        <v>111</v>
      </c>
      <c r="F13" s="42" t="s">
        <v>57</v>
      </c>
      <c r="G13" s="54" t="s">
        <v>64</v>
      </c>
      <c r="H13" s="44" t="s">
        <v>57</v>
      </c>
      <c r="I13" s="45" t="s">
        <v>57</v>
      </c>
      <c r="J13" s="46" t="s">
        <v>57</v>
      </c>
      <c r="K13" s="47" t="s">
        <v>57</v>
      </c>
      <c r="L13" s="52" t="s">
        <v>97</v>
      </c>
      <c r="M13" s="52" t="s">
        <v>64</v>
      </c>
      <c r="N13" s="52" t="s">
        <v>138</v>
      </c>
      <c r="O13" s="52" t="s">
        <v>100</v>
      </c>
      <c r="P13" s="52" t="s">
        <v>101</v>
      </c>
      <c r="Q13" s="52" t="s">
        <v>127</v>
      </c>
      <c r="R13" s="49" t="s">
        <v>103</v>
      </c>
      <c r="S13" s="49" t="s">
        <v>104</v>
      </c>
      <c r="T13" s="8"/>
    </row>
    <row r="14" spans="1:20" ht="34.049999999999997" customHeight="1" x14ac:dyDescent="0.3">
      <c r="A14" s="38">
        <v>9</v>
      </c>
      <c r="B14" s="55" t="s">
        <v>139</v>
      </c>
      <c r="C14" s="39" t="s">
        <v>140</v>
      </c>
      <c r="D14" s="40" t="s">
        <v>141</v>
      </c>
      <c r="E14" s="53" t="s">
        <v>111</v>
      </c>
      <c r="F14" s="42" t="s">
        <v>57</v>
      </c>
      <c r="G14" s="43" t="s">
        <v>57</v>
      </c>
      <c r="H14" s="44" t="s">
        <v>57</v>
      </c>
      <c r="I14" s="45" t="s">
        <v>57</v>
      </c>
      <c r="J14" s="46" t="s">
        <v>57</v>
      </c>
      <c r="K14" s="47" t="s">
        <v>57</v>
      </c>
      <c r="L14" s="48" t="s">
        <v>142</v>
      </c>
      <c r="M14" s="48" t="s">
        <v>112</v>
      </c>
      <c r="N14" s="48" t="s">
        <v>143</v>
      </c>
      <c r="O14" s="48" t="s">
        <v>114</v>
      </c>
      <c r="P14" s="48" t="s">
        <v>115</v>
      </c>
      <c r="Q14" s="48" t="s">
        <v>116</v>
      </c>
      <c r="R14" s="49" t="s">
        <v>103</v>
      </c>
      <c r="S14" s="49" t="s">
        <v>104</v>
      </c>
      <c r="T14" s="39"/>
    </row>
    <row r="15" spans="1:20" ht="34.049999999999997" customHeight="1" x14ac:dyDescent="0.3">
      <c r="A15" s="50">
        <v>10</v>
      </c>
      <c r="B15" s="56" t="s">
        <v>139</v>
      </c>
      <c r="C15" s="8" t="s">
        <v>144</v>
      </c>
      <c r="D15" s="51" t="s">
        <v>145</v>
      </c>
      <c r="E15" s="53" t="s">
        <v>111</v>
      </c>
      <c r="F15" s="42" t="s">
        <v>57</v>
      </c>
      <c r="G15" s="43" t="s">
        <v>57</v>
      </c>
      <c r="H15" s="44" t="s">
        <v>57</v>
      </c>
      <c r="I15" s="45" t="s">
        <v>57</v>
      </c>
      <c r="J15" s="46" t="s">
        <v>57</v>
      </c>
      <c r="K15" s="47" t="s">
        <v>57</v>
      </c>
      <c r="L15" s="52" t="s">
        <v>97</v>
      </c>
      <c r="M15" s="52" t="s">
        <v>112</v>
      </c>
      <c r="N15" s="52" t="s">
        <v>138</v>
      </c>
      <c r="O15" s="52" t="s">
        <v>146</v>
      </c>
      <c r="P15" s="52" t="s">
        <v>115</v>
      </c>
      <c r="Q15" s="52" t="s">
        <v>147</v>
      </c>
      <c r="R15" s="49" t="s">
        <v>103</v>
      </c>
      <c r="S15" s="49" t="s">
        <v>104</v>
      </c>
      <c r="T15" s="8"/>
    </row>
    <row r="16" spans="1:20" ht="34.049999999999997" customHeight="1" x14ac:dyDescent="0.3">
      <c r="A16" s="38">
        <v>11</v>
      </c>
      <c r="B16" s="55" t="s">
        <v>139</v>
      </c>
      <c r="C16" s="39" t="s">
        <v>148</v>
      </c>
      <c r="D16" s="40" t="s">
        <v>149</v>
      </c>
      <c r="E16" s="53" t="s">
        <v>111</v>
      </c>
      <c r="F16" s="42" t="s">
        <v>57</v>
      </c>
      <c r="G16" s="43" t="s">
        <v>57</v>
      </c>
      <c r="H16" s="44" t="s">
        <v>57</v>
      </c>
      <c r="I16" s="45" t="s">
        <v>57</v>
      </c>
      <c r="J16" s="46" t="s">
        <v>57</v>
      </c>
      <c r="K16" s="47" t="s">
        <v>57</v>
      </c>
      <c r="L16" s="48" t="s">
        <v>97</v>
      </c>
      <c r="M16" s="48" t="s">
        <v>112</v>
      </c>
      <c r="N16" s="48" t="s">
        <v>138</v>
      </c>
      <c r="O16" s="48" t="s">
        <v>146</v>
      </c>
      <c r="P16" s="48" t="s">
        <v>115</v>
      </c>
      <c r="Q16" s="48" t="s">
        <v>102</v>
      </c>
      <c r="R16" s="49" t="s">
        <v>103</v>
      </c>
      <c r="S16" s="49" t="s">
        <v>104</v>
      </c>
      <c r="T16" s="39"/>
    </row>
    <row r="17" spans="1:20" ht="34.049999999999997" customHeight="1" x14ac:dyDescent="0.3">
      <c r="A17" s="50">
        <v>12</v>
      </c>
      <c r="B17" s="56" t="s">
        <v>139</v>
      </c>
      <c r="C17" s="8" t="s">
        <v>150</v>
      </c>
      <c r="D17" s="51" t="s">
        <v>151</v>
      </c>
      <c r="E17" s="53" t="s">
        <v>111</v>
      </c>
      <c r="F17" s="54" t="s">
        <v>64</v>
      </c>
      <c r="G17" s="43" t="s">
        <v>57</v>
      </c>
      <c r="H17" s="44" t="s">
        <v>57</v>
      </c>
      <c r="I17" s="45" t="s">
        <v>57</v>
      </c>
      <c r="J17" s="54" t="s">
        <v>64</v>
      </c>
      <c r="K17" s="54" t="s">
        <v>64</v>
      </c>
      <c r="L17" s="52" t="s">
        <v>64</v>
      </c>
      <c r="M17" s="52" t="s">
        <v>112</v>
      </c>
      <c r="N17" s="52" t="s">
        <v>152</v>
      </c>
      <c r="O17" s="52" t="s">
        <v>100</v>
      </c>
      <c r="P17" s="52" t="s">
        <v>64</v>
      </c>
      <c r="Q17" s="52" t="s">
        <v>64</v>
      </c>
      <c r="R17" s="49" t="s">
        <v>103</v>
      </c>
      <c r="S17" s="49" t="s">
        <v>104</v>
      </c>
      <c r="T17" s="8"/>
    </row>
    <row r="18" spans="1:20" ht="34.049999999999997" customHeight="1" x14ac:dyDescent="0.3">
      <c r="A18" s="38">
        <v>13</v>
      </c>
      <c r="B18" s="55" t="s">
        <v>139</v>
      </c>
      <c r="C18" s="39" t="s">
        <v>153</v>
      </c>
      <c r="D18" s="40" t="s">
        <v>154</v>
      </c>
      <c r="E18" s="53" t="s">
        <v>111</v>
      </c>
      <c r="F18" s="42" t="s">
        <v>57</v>
      </c>
      <c r="G18" s="54" t="s">
        <v>64</v>
      </c>
      <c r="H18" s="44" t="s">
        <v>57</v>
      </c>
      <c r="I18" s="45" t="s">
        <v>57</v>
      </c>
      <c r="J18" s="54" t="s">
        <v>64</v>
      </c>
      <c r="K18" s="54" t="s">
        <v>64</v>
      </c>
      <c r="L18" s="48" t="s">
        <v>97</v>
      </c>
      <c r="M18" s="48" t="s">
        <v>64</v>
      </c>
      <c r="N18" s="48" t="s">
        <v>155</v>
      </c>
      <c r="O18" s="48" t="s">
        <v>100</v>
      </c>
      <c r="P18" s="48" t="s">
        <v>64</v>
      </c>
      <c r="Q18" s="48" t="s">
        <v>64</v>
      </c>
      <c r="R18" s="49" t="s">
        <v>103</v>
      </c>
      <c r="S18" s="49" t="s">
        <v>104</v>
      </c>
      <c r="T18" s="39"/>
    </row>
    <row r="19" spans="1:20" ht="34.049999999999997" customHeight="1" x14ac:dyDescent="0.3">
      <c r="A19" s="50">
        <v>14</v>
      </c>
      <c r="B19" s="56" t="s">
        <v>139</v>
      </c>
      <c r="C19" s="8" t="s">
        <v>156</v>
      </c>
      <c r="D19" s="51" t="s">
        <v>157</v>
      </c>
      <c r="E19" s="53" t="s">
        <v>111</v>
      </c>
      <c r="F19" s="42" t="s">
        <v>57</v>
      </c>
      <c r="G19" s="54" t="s">
        <v>64</v>
      </c>
      <c r="H19" s="44" t="s">
        <v>57</v>
      </c>
      <c r="I19" s="45" t="s">
        <v>57</v>
      </c>
      <c r="J19" s="46" t="s">
        <v>57</v>
      </c>
      <c r="K19" s="47" t="s">
        <v>57</v>
      </c>
      <c r="L19" s="52" t="s">
        <v>97</v>
      </c>
      <c r="M19" s="52" t="s">
        <v>64</v>
      </c>
      <c r="N19" s="52" t="s">
        <v>138</v>
      </c>
      <c r="O19" s="52" t="s">
        <v>158</v>
      </c>
      <c r="P19" s="52" t="s">
        <v>115</v>
      </c>
      <c r="Q19" s="52" t="s">
        <v>116</v>
      </c>
      <c r="R19" s="49" t="s">
        <v>103</v>
      </c>
      <c r="S19" s="49" t="s">
        <v>104</v>
      </c>
      <c r="T19" s="8"/>
    </row>
    <row r="20" spans="1:20" ht="34.049999999999997" customHeight="1" x14ac:dyDescent="0.3">
      <c r="A20" s="38">
        <v>15</v>
      </c>
      <c r="B20" s="57" t="s">
        <v>159</v>
      </c>
      <c r="C20" s="39" t="s">
        <v>160</v>
      </c>
      <c r="D20" s="40" t="s">
        <v>161</v>
      </c>
      <c r="E20" s="58" t="s">
        <v>162</v>
      </c>
      <c r="F20" s="42" t="s">
        <v>57</v>
      </c>
      <c r="G20" s="43" t="s">
        <v>57</v>
      </c>
      <c r="H20" s="44" t="s">
        <v>57</v>
      </c>
      <c r="I20" s="45" t="s">
        <v>57</v>
      </c>
      <c r="J20" s="46" t="s">
        <v>57</v>
      </c>
      <c r="K20" s="47" t="s">
        <v>57</v>
      </c>
      <c r="L20" s="48" t="s">
        <v>97</v>
      </c>
      <c r="M20" s="48" t="s">
        <v>163</v>
      </c>
      <c r="N20" s="48" t="s">
        <v>143</v>
      </c>
      <c r="O20" s="48" t="s">
        <v>164</v>
      </c>
      <c r="P20" s="48" t="s">
        <v>165</v>
      </c>
      <c r="Q20" s="48" t="s">
        <v>127</v>
      </c>
      <c r="R20" s="49" t="s">
        <v>103</v>
      </c>
      <c r="S20" s="49" t="s">
        <v>104</v>
      </c>
      <c r="T20" s="39"/>
    </row>
    <row r="21" spans="1:20" ht="34.049999999999997" customHeight="1" x14ac:dyDescent="0.3">
      <c r="A21" s="50">
        <v>16</v>
      </c>
      <c r="B21" s="59" t="s">
        <v>159</v>
      </c>
      <c r="C21" s="8" t="s">
        <v>166</v>
      </c>
      <c r="D21" s="51" t="s">
        <v>167</v>
      </c>
      <c r="E21" s="58" t="s">
        <v>162</v>
      </c>
      <c r="F21" s="42" t="s">
        <v>57</v>
      </c>
      <c r="G21" s="43" t="s">
        <v>57</v>
      </c>
      <c r="H21" s="44" t="s">
        <v>57</v>
      </c>
      <c r="I21" s="45" t="s">
        <v>57</v>
      </c>
      <c r="J21" s="46" t="s">
        <v>57</v>
      </c>
      <c r="K21" s="47" t="s">
        <v>57</v>
      </c>
      <c r="L21" s="52" t="s">
        <v>97</v>
      </c>
      <c r="M21" s="52" t="s">
        <v>163</v>
      </c>
      <c r="N21" s="52" t="s">
        <v>143</v>
      </c>
      <c r="O21" s="52" t="s">
        <v>168</v>
      </c>
      <c r="P21" s="52" t="s">
        <v>165</v>
      </c>
      <c r="Q21" s="52" t="s">
        <v>127</v>
      </c>
      <c r="R21" s="49" t="s">
        <v>103</v>
      </c>
      <c r="S21" s="49" t="s">
        <v>104</v>
      </c>
      <c r="T21" s="8"/>
    </row>
    <row r="22" spans="1:20" ht="34.049999999999997" customHeight="1" x14ac:dyDescent="0.3">
      <c r="A22" s="38">
        <v>17</v>
      </c>
      <c r="B22" s="57" t="s">
        <v>159</v>
      </c>
      <c r="C22" s="39" t="s">
        <v>169</v>
      </c>
      <c r="D22" s="40" t="s">
        <v>170</v>
      </c>
      <c r="E22" s="53" t="s">
        <v>111</v>
      </c>
      <c r="F22" s="42" t="s">
        <v>57</v>
      </c>
      <c r="G22" s="43" t="s">
        <v>57</v>
      </c>
      <c r="H22" s="44" t="s">
        <v>57</v>
      </c>
      <c r="I22" s="45" t="s">
        <v>57</v>
      </c>
      <c r="J22" s="46" t="s">
        <v>57</v>
      </c>
      <c r="K22" s="47" t="s">
        <v>57</v>
      </c>
      <c r="L22" s="48" t="s">
        <v>97</v>
      </c>
      <c r="M22" s="48" t="s">
        <v>163</v>
      </c>
      <c r="N22" s="48" t="s">
        <v>143</v>
      </c>
      <c r="O22" s="48" t="s">
        <v>171</v>
      </c>
      <c r="P22" s="48" t="s">
        <v>165</v>
      </c>
      <c r="Q22" s="48" t="s">
        <v>127</v>
      </c>
      <c r="R22" s="49" t="s">
        <v>103</v>
      </c>
      <c r="S22" s="49" t="s">
        <v>104</v>
      </c>
      <c r="T22" s="39"/>
    </row>
    <row r="23" spans="1:20" ht="34.049999999999997" customHeight="1" x14ac:dyDescent="0.3">
      <c r="A23" s="50">
        <v>18</v>
      </c>
      <c r="B23" s="59" t="s">
        <v>159</v>
      </c>
      <c r="C23" s="8" t="s">
        <v>172</v>
      </c>
      <c r="D23" s="51" t="s">
        <v>173</v>
      </c>
      <c r="E23" s="58" t="s">
        <v>162</v>
      </c>
      <c r="F23" s="42" t="s">
        <v>57</v>
      </c>
      <c r="G23" s="43" t="s">
        <v>57</v>
      </c>
      <c r="H23" s="44" t="s">
        <v>57</v>
      </c>
      <c r="I23" s="45" t="s">
        <v>57</v>
      </c>
      <c r="J23" s="46" t="s">
        <v>57</v>
      </c>
      <c r="K23" s="47" t="s">
        <v>57</v>
      </c>
      <c r="L23" s="52" t="s">
        <v>97</v>
      </c>
      <c r="M23" s="52" t="s">
        <v>163</v>
      </c>
      <c r="N23" s="52" t="s">
        <v>143</v>
      </c>
      <c r="O23" s="52" t="s">
        <v>174</v>
      </c>
      <c r="P23" s="52" t="s">
        <v>165</v>
      </c>
      <c r="Q23" s="52" t="s">
        <v>127</v>
      </c>
      <c r="R23" s="49" t="s">
        <v>103</v>
      </c>
      <c r="S23" s="49" t="s">
        <v>104</v>
      </c>
      <c r="T23" s="8"/>
    </row>
    <row r="24" spans="1:20" ht="34.049999999999997" customHeight="1" x14ac:dyDescent="0.3">
      <c r="A24" s="38">
        <v>19</v>
      </c>
      <c r="B24" s="57" t="s">
        <v>159</v>
      </c>
      <c r="C24" s="39" t="s">
        <v>175</v>
      </c>
      <c r="D24" s="40" t="s">
        <v>176</v>
      </c>
      <c r="E24" s="53" t="s">
        <v>111</v>
      </c>
      <c r="F24" s="42" t="s">
        <v>57</v>
      </c>
      <c r="G24" s="43" t="s">
        <v>57</v>
      </c>
      <c r="H24" s="44" t="s">
        <v>57</v>
      </c>
      <c r="I24" s="45" t="s">
        <v>57</v>
      </c>
      <c r="J24" s="46" t="s">
        <v>57</v>
      </c>
      <c r="K24" s="47" t="s">
        <v>57</v>
      </c>
      <c r="L24" s="48" t="s">
        <v>97</v>
      </c>
      <c r="M24" s="48" t="s">
        <v>163</v>
      </c>
      <c r="N24" s="48" t="s">
        <v>138</v>
      </c>
      <c r="O24" s="48" t="s">
        <v>177</v>
      </c>
      <c r="P24" s="48" t="s">
        <v>165</v>
      </c>
      <c r="Q24" s="48" t="s">
        <v>127</v>
      </c>
      <c r="R24" s="49" t="s">
        <v>103</v>
      </c>
      <c r="S24" s="49" t="s">
        <v>104</v>
      </c>
      <c r="T24" s="39"/>
    </row>
    <row r="25" spans="1:20" ht="34.049999999999997" customHeight="1" x14ac:dyDescent="0.3">
      <c r="A25" s="50">
        <v>20</v>
      </c>
      <c r="B25" s="59" t="s">
        <v>159</v>
      </c>
      <c r="C25" s="8" t="s">
        <v>178</v>
      </c>
      <c r="D25" s="51" t="s">
        <v>179</v>
      </c>
      <c r="E25" s="58" t="s">
        <v>162</v>
      </c>
      <c r="F25" s="54" t="s">
        <v>64</v>
      </c>
      <c r="G25" s="54" t="s">
        <v>64</v>
      </c>
      <c r="H25" s="54" t="s">
        <v>64</v>
      </c>
      <c r="I25" s="54" t="s">
        <v>64</v>
      </c>
      <c r="J25" s="46" t="s">
        <v>57</v>
      </c>
      <c r="K25" s="47" t="s">
        <v>57</v>
      </c>
      <c r="L25" s="52" t="s">
        <v>64</v>
      </c>
      <c r="M25" s="52" t="s">
        <v>64</v>
      </c>
      <c r="N25" s="52" t="s">
        <v>64</v>
      </c>
      <c r="O25" s="52" t="s">
        <v>64</v>
      </c>
      <c r="P25" s="52" t="s">
        <v>165</v>
      </c>
      <c r="Q25" s="52" t="s">
        <v>127</v>
      </c>
      <c r="R25" s="49" t="s">
        <v>103</v>
      </c>
      <c r="S25" s="49" t="s">
        <v>104</v>
      </c>
      <c r="T25" s="8"/>
    </row>
    <row r="26" spans="1:20" ht="34.049999999999997" customHeight="1" x14ac:dyDescent="0.3">
      <c r="A26" s="38">
        <v>21</v>
      </c>
      <c r="B26" s="57" t="s">
        <v>159</v>
      </c>
      <c r="C26" s="39" t="s">
        <v>180</v>
      </c>
      <c r="D26" s="40" t="s">
        <v>181</v>
      </c>
      <c r="E26" s="58" t="s">
        <v>162</v>
      </c>
      <c r="F26" s="42" t="s">
        <v>57</v>
      </c>
      <c r="G26" s="43" t="s">
        <v>57</v>
      </c>
      <c r="H26" s="44" t="s">
        <v>57</v>
      </c>
      <c r="I26" s="45" t="s">
        <v>57</v>
      </c>
      <c r="J26" s="46" t="s">
        <v>57</v>
      </c>
      <c r="K26" s="47" t="s">
        <v>57</v>
      </c>
      <c r="L26" s="48" t="s">
        <v>97</v>
      </c>
      <c r="M26" s="48" t="s">
        <v>163</v>
      </c>
      <c r="N26" s="48" t="s">
        <v>138</v>
      </c>
      <c r="O26" s="48" t="s">
        <v>171</v>
      </c>
      <c r="P26" s="48" t="s">
        <v>165</v>
      </c>
      <c r="Q26" s="48" t="s">
        <v>127</v>
      </c>
      <c r="R26" s="49" t="s">
        <v>103</v>
      </c>
      <c r="S26" s="49" t="s">
        <v>104</v>
      </c>
      <c r="T26" s="39"/>
    </row>
    <row r="27" spans="1:20" ht="34.049999999999997" customHeight="1" x14ac:dyDescent="0.3">
      <c r="A27" s="50">
        <v>22</v>
      </c>
      <c r="B27" s="59" t="s">
        <v>159</v>
      </c>
      <c r="C27" s="8" t="s">
        <v>182</v>
      </c>
      <c r="D27" s="51" t="s">
        <v>183</v>
      </c>
      <c r="E27" s="58" t="s">
        <v>162</v>
      </c>
      <c r="F27" s="42" t="s">
        <v>57</v>
      </c>
      <c r="G27" s="43" t="s">
        <v>57</v>
      </c>
      <c r="H27" s="44" t="s">
        <v>57</v>
      </c>
      <c r="I27" s="45" t="s">
        <v>57</v>
      </c>
      <c r="J27" s="46" t="s">
        <v>57</v>
      </c>
      <c r="K27" s="47" t="s">
        <v>57</v>
      </c>
      <c r="L27" s="52" t="s">
        <v>97</v>
      </c>
      <c r="M27" s="52" t="s">
        <v>163</v>
      </c>
      <c r="N27" s="52" t="s">
        <v>138</v>
      </c>
      <c r="O27" s="52" t="s">
        <v>168</v>
      </c>
      <c r="P27" s="52" t="s">
        <v>165</v>
      </c>
      <c r="Q27" s="52" t="s">
        <v>127</v>
      </c>
      <c r="R27" s="49" t="s">
        <v>103</v>
      </c>
      <c r="S27" s="49" t="s">
        <v>104</v>
      </c>
      <c r="T27" s="8"/>
    </row>
    <row r="28" spans="1:20" ht="34.049999999999997" customHeight="1" x14ac:dyDescent="0.3">
      <c r="A28" s="38">
        <v>23</v>
      </c>
      <c r="B28" s="57" t="s">
        <v>159</v>
      </c>
      <c r="C28" s="39" t="s">
        <v>184</v>
      </c>
      <c r="D28" s="40" t="s">
        <v>185</v>
      </c>
      <c r="E28" s="58" t="s">
        <v>162</v>
      </c>
      <c r="F28" s="42" t="s">
        <v>57</v>
      </c>
      <c r="G28" s="54" t="s">
        <v>64</v>
      </c>
      <c r="H28" s="44" t="s">
        <v>57</v>
      </c>
      <c r="I28" s="45" t="s">
        <v>57</v>
      </c>
      <c r="J28" s="46" t="s">
        <v>57</v>
      </c>
      <c r="K28" s="47" t="s">
        <v>57</v>
      </c>
      <c r="L28" s="48" t="s">
        <v>97</v>
      </c>
      <c r="M28" s="48" t="s">
        <v>64</v>
      </c>
      <c r="N28" s="48" t="s">
        <v>138</v>
      </c>
      <c r="O28" s="48" t="s">
        <v>186</v>
      </c>
      <c r="P28" s="48" t="s">
        <v>165</v>
      </c>
      <c r="Q28" s="48" t="s">
        <v>127</v>
      </c>
      <c r="R28" s="49" t="s">
        <v>103</v>
      </c>
      <c r="S28" s="49" t="s">
        <v>104</v>
      </c>
      <c r="T28" s="39"/>
    </row>
    <row r="29" spans="1:20" ht="34.049999999999997" customHeight="1" x14ac:dyDescent="0.3">
      <c r="A29" s="50">
        <v>24</v>
      </c>
      <c r="B29" s="60" t="s">
        <v>187</v>
      </c>
      <c r="C29" s="8" t="s">
        <v>188</v>
      </c>
      <c r="D29" s="51" t="s">
        <v>189</v>
      </c>
      <c r="E29" s="53" t="s">
        <v>111</v>
      </c>
      <c r="F29" s="54" t="s">
        <v>64</v>
      </c>
      <c r="G29" s="43" t="s">
        <v>57</v>
      </c>
      <c r="H29" s="44" t="s">
        <v>57</v>
      </c>
      <c r="I29" s="45" t="s">
        <v>57</v>
      </c>
      <c r="J29" s="46" t="s">
        <v>57</v>
      </c>
      <c r="K29" s="47" t="s">
        <v>57</v>
      </c>
      <c r="L29" s="52" t="s">
        <v>64</v>
      </c>
      <c r="M29" s="52" t="s">
        <v>112</v>
      </c>
      <c r="N29" s="52" t="s">
        <v>99</v>
      </c>
      <c r="O29" s="52" t="s">
        <v>174</v>
      </c>
      <c r="P29" s="52" t="s">
        <v>115</v>
      </c>
      <c r="Q29" s="52" t="s">
        <v>127</v>
      </c>
      <c r="R29" s="49" t="s">
        <v>103</v>
      </c>
      <c r="S29" s="49" t="s">
        <v>104</v>
      </c>
      <c r="T29" s="8"/>
    </row>
    <row r="30" spans="1:20" ht="34.049999999999997" customHeight="1" x14ac:dyDescent="0.3">
      <c r="A30" s="38">
        <v>25</v>
      </c>
      <c r="B30" s="61" t="s">
        <v>187</v>
      </c>
      <c r="C30" s="39" t="s">
        <v>190</v>
      </c>
      <c r="D30" s="40" t="s">
        <v>191</v>
      </c>
      <c r="E30" s="58" t="s">
        <v>162</v>
      </c>
      <c r="F30" s="42" t="s">
        <v>57</v>
      </c>
      <c r="G30" s="43" t="s">
        <v>57</v>
      </c>
      <c r="H30" s="44" t="s">
        <v>57</v>
      </c>
      <c r="I30" s="45" t="s">
        <v>57</v>
      </c>
      <c r="J30" s="46" t="s">
        <v>57</v>
      </c>
      <c r="K30" s="47" t="s">
        <v>57</v>
      </c>
      <c r="L30" s="48" t="s">
        <v>97</v>
      </c>
      <c r="M30" s="48" t="s">
        <v>112</v>
      </c>
      <c r="N30" s="48" t="s">
        <v>192</v>
      </c>
      <c r="O30" s="48" t="s">
        <v>174</v>
      </c>
      <c r="P30" s="48" t="s">
        <v>193</v>
      </c>
      <c r="Q30" s="48" t="s">
        <v>127</v>
      </c>
      <c r="R30" s="49" t="s">
        <v>103</v>
      </c>
      <c r="S30" s="49" t="s">
        <v>104</v>
      </c>
      <c r="T30" s="39"/>
    </row>
    <row r="31" spans="1:20" ht="34.049999999999997" customHeight="1" x14ac:dyDescent="0.3">
      <c r="A31" s="50">
        <v>26</v>
      </c>
      <c r="B31" s="60" t="s">
        <v>187</v>
      </c>
      <c r="C31" s="8" t="s">
        <v>194</v>
      </c>
      <c r="D31" s="51" t="s">
        <v>195</v>
      </c>
      <c r="E31" s="58" t="s">
        <v>162</v>
      </c>
      <c r="F31" s="42" t="s">
        <v>57</v>
      </c>
      <c r="G31" s="43" t="s">
        <v>57</v>
      </c>
      <c r="H31" s="44" t="s">
        <v>57</v>
      </c>
      <c r="I31" s="45" t="s">
        <v>57</v>
      </c>
      <c r="J31" s="46" t="s">
        <v>57</v>
      </c>
      <c r="K31" s="47" t="s">
        <v>57</v>
      </c>
      <c r="L31" s="52" t="s">
        <v>97</v>
      </c>
      <c r="M31" s="52" t="s">
        <v>112</v>
      </c>
      <c r="N31" s="52" t="s">
        <v>192</v>
      </c>
      <c r="O31" s="52" t="s">
        <v>196</v>
      </c>
      <c r="P31" s="52" t="s">
        <v>193</v>
      </c>
      <c r="Q31" s="52" t="s">
        <v>127</v>
      </c>
      <c r="R31" s="49" t="s">
        <v>103</v>
      </c>
      <c r="S31" s="49" t="s">
        <v>104</v>
      </c>
      <c r="T31" s="8"/>
    </row>
    <row r="32" spans="1:20" ht="34.049999999999997" customHeight="1" x14ac:dyDescent="0.3">
      <c r="A32" s="38">
        <v>27</v>
      </c>
      <c r="B32" s="61" t="s">
        <v>187</v>
      </c>
      <c r="C32" s="39" t="s">
        <v>197</v>
      </c>
      <c r="D32" s="40" t="s">
        <v>198</v>
      </c>
      <c r="E32" s="58" t="s">
        <v>162</v>
      </c>
      <c r="F32" s="54" t="s">
        <v>64</v>
      </c>
      <c r="G32" s="43" t="s">
        <v>57</v>
      </c>
      <c r="H32" s="44" t="s">
        <v>57</v>
      </c>
      <c r="I32" s="45" t="s">
        <v>57</v>
      </c>
      <c r="J32" s="46" t="s">
        <v>57</v>
      </c>
      <c r="K32" s="47" t="s">
        <v>57</v>
      </c>
      <c r="L32" s="48" t="s">
        <v>64</v>
      </c>
      <c r="M32" s="48" t="s">
        <v>199</v>
      </c>
      <c r="N32" s="48" t="s">
        <v>138</v>
      </c>
      <c r="O32" s="48" t="s">
        <v>164</v>
      </c>
      <c r="P32" s="48" t="s">
        <v>200</v>
      </c>
      <c r="Q32" s="48" t="s">
        <v>127</v>
      </c>
      <c r="R32" s="49" t="s">
        <v>103</v>
      </c>
      <c r="S32" s="49" t="s">
        <v>104</v>
      </c>
      <c r="T32" s="39"/>
    </row>
    <row r="33" spans="1:20" ht="34.049999999999997" customHeight="1" x14ac:dyDescent="0.3">
      <c r="A33" s="50">
        <v>28</v>
      </c>
      <c r="B33" s="60" t="s">
        <v>187</v>
      </c>
      <c r="C33" s="8" t="s">
        <v>201</v>
      </c>
      <c r="D33" s="51" t="s">
        <v>202</v>
      </c>
      <c r="E33" s="58" t="s">
        <v>162</v>
      </c>
      <c r="F33" s="42" t="s">
        <v>57</v>
      </c>
      <c r="G33" s="54" t="s">
        <v>64</v>
      </c>
      <c r="H33" s="44" t="s">
        <v>57</v>
      </c>
      <c r="I33" s="45" t="s">
        <v>57</v>
      </c>
      <c r="J33" s="46" t="s">
        <v>57</v>
      </c>
      <c r="K33" s="47" t="s">
        <v>57</v>
      </c>
      <c r="L33" s="52" t="s">
        <v>97</v>
      </c>
      <c r="M33" s="52" t="s">
        <v>64</v>
      </c>
      <c r="N33" s="52" t="s">
        <v>138</v>
      </c>
      <c r="O33" s="52" t="s">
        <v>158</v>
      </c>
      <c r="P33" s="52" t="s">
        <v>115</v>
      </c>
      <c r="Q33" s="52" t="s">
        <v>127</v>
      </c>
      <c r="R33" s="49" t="s">
        <v>103</v>
      </c>
      <c r="S33" s="49" t="s">
        <v>104</v>
      </c>
      <c r="T33" s="8"/>
    </row>
    <row r="34" spans="1:20" ht="34.049999999999997" customHeight="1" x14ac:dyDescent="0.3">
      <c r="A34" s="38">
        <v>29</v>
      </c>
      <c r="B34" s="61" t="s">
        <v>187</v>
      </c>
      <c r="C34" s="39" t="s">
        <v>203</v>
      </c>
      <c r="D34" s="40" t="s">
        <v>204</v>
      </c>
      <c r="E34" s="53" t="s">
        <v>111</v>
      </c>
      <c r="F34" s="54" t="s">
        <v>64</v>
      </c>
      <c r="G34" s="43" t="s">
        <v>57</v>
      </c>
      <c r="H34" s="44" t="s">
        <v>57</v>
      </c>
      <c r="I34" s="45" t="s">
        <v>57</v>
      </c>
      <c r="J34" s="46" t="s">
        <v>57</v>
      </c>
      <c r="K34" s="54" t="s">
        <v>64</v>
      </c>
      <c r="L34" s="48" t="s">
        <v>64</v>
      </c>
      <c r="M34" s="48" t="s">
        <v>199</v>
      </c>
      <c r="N34" s="48" t="s">
        <v>205</v>
      </c>
      <c r="O34" s="48" t="s">
        <v>206</v>
      </c>
      <c r="P34" s="48" t="s">
        <v>135</v>
      </c>
      <c r="Q34" s="48" t="s">
        <v>64</v>
      </c>
      <c r="R34" s="49" t="s">
        <v>103</v>
      </c>
      <c r="S34" s="49" t="s">
        <v>104</v>
      </c>
      <c r="T34" s="39"/>
    </row>
    <row r="35" spans="1:20" ht="34.049999999999997" customHeight="1" x14ac:dyDescent="0.3">
      <c r="A35" s="50">
        <v>30</v>
      </c>
      <c r="B35" s="60" t="s">
        <v>187</v>
      </c>
      <c r="C35" s="8" t="s">
        <v>207</v>
      </c>
      <c r="D35" s="51" t="s">
        <v>208</v>
      </c>
      <c r="E35" s="58" t="s">
        <v>162</v>
      </c>
      <c r="F35" s="42" t="s">
        <v>57</v>
      </c>
      <c r="G35" s="43" t="s">
        <v>57</v>
      </c>
      <c r="H35" s="44" t="s">
        <v>57</v>
      </c>
      <c r="I35" s="45" t="s">
        <v>57</v>
      </c>
      <c r="J35" s="46" t="s">
        <v>57</v>
      </c>
      <c r="K35" s="47" t="s">
        <v>57</v>
      </c>
      <c r="L35" s="52" t="s">
        <v>97</v>
      </c>
      <c r="M35" s="52" t="s">
        <v>112</v>
      </c>
      <c r="N35" s="52" t="s">
        <v>138</v>
      </c>
      <c r="O35" s="52" t="s">
        <v>174</v>
      </c>
      <c r="P35" s="52" t="s">
        <v>193</v>
      </c>
      <c r="Q35" s="52" t="s">
        <v>127</v>
      </c>
      <c r="R35" s="49" t="s">
        <v>103</v>
      </c>
      <c r="S35" s="49" t="s">
        <v>104</v>
      </c>
      <c r="T35" s="8"/>
    </row>
    <row r="36" spans="1:20" ht="34.049999999999997" customHeight="1" x14ac:dyDescent="0.3">
      <c r="A36" s="38">
        <v>31</v>
      </c>
      <c r="B36" s="61" t="s">
        <v>187</v>
      </c>
      <c r="C36" s="39" t="s">
        <v>209</v>
      </c>
      <c r="D36" s="40" t="s">
        <v>210</v>
      </c>
      <c r="E36" s="58" t="s">
        <v>162</v>
      </c>
      <c r="F36" s="54" t="s">
        <v>64</v>
      </c>
      <c r="G36" s="43" t="s">
        <v>57</v>
      </c>
      <c r="H36" s="44" t="s">
        <v>57</v>
      </c>
      <c r="I36" s="45" t="s">
        <v>57</v>
      </c>
      <c r="J36" s="54" t="s">
        <v>64</v>
      </c>
      <c r="K36" s="54" t="s">
        <v>64</v>
      </c>
      <c r="L36" s="48" t="s">
        <v>64</v>
      </c>
      <c r="M36" s="48" t="s">
        <v>112</v>
      </c>
      <c r="N36" s="48" t="s">
        <v>211</v>
      </c>
      <c r="O36" s="48" t="s">
        <v>212</v>
      </c>
      <c r="P36" s="48" t="s">
        <v>64</v>
      </c>
      <c r="Q36" s="48" t="s">
        <v>64</v>
      </c>
      <c r="R36" s="49" t="s">
        <v>103</v>
      </c>
      <c r="S36" s="49" t="s">
        <v>104</v>
      </c>
      <c r="T36" s="39"/>
    </row>
    <row r="37" spans="1:20" ht="34.049999999999997" customHeight="1" x14ac:dyDescent="0.3">
      <c r="A37" s="50">
        <v>32</v>
      </c>
      <c r="B37" s="60" t="s">
        <v>187</v>
      </c>
      <c r="C37" s="8" t="s">
        <v>213</v>
      </c>
      <c r="D37" s="51" t="s">
        <v>214</v>
      </c>
      <c r="E37" s="53" t="s">
        <v>111</v>
      </c>
      <c r="F37" s="54" t="s">
        <v>64</v>
      </c>
      <c r="G37" s="43" t="s">
        <v>57</v>
      </c>
      <c r="H37" s="44" t="s">
        <v>57</v>
      </c>
      <c r="I37" s="54" t="s">
        <v>64</v>
      </c>
      <c r="J37" s="54" t="s">
        <v>64</v>
      </c>
      <c r="K37" s="54" t="s">
        <v>64</v>
      </c>
      <c r="L37" s="52" t="s">
        <v>64</v>
      </c>
      <c r="M37" s="52" t="s">
        <v>112</v>
      </c>
      <c r="N37" s="52" t="s">
        <v>215</v>
      </c>
      <c r="O37" s="52" t="s">
        <v>64</v>
      </c>
      <c r="P37" s="52" t="s">
        <v>64</v>
      </c>
      <c r="Q37" s="52" t="s">
        <v>64</v>
      </c>
      <c r="R37" s="49" t="s">
        <v>103</v>
      </c>
      <c r="S37" s="49" t="s">
        <v>104</v>
      </c>
      <c r="T37" s="8"/>
    </row>
    <row r="38" spans="1:20" ht="34.049999999999997" customHeight="1" x14ac:dyDescent="0.3">
      <c r="A38" s="38">
        <v>33</v>
      </c>
      <c r="B38" s="62" t="s">
        <v>216</v>
      </c>
      <c r="C38" s="39" t="s">
        <v>217</v>
      </c>
      <c r="D38" s="40" t="s">
        <v>218</v>
      </c>
      <c r="E38" s="41" t="s">
        <v>96</v>
      </c>
      <c r="F38" s="54" t="s">
        <v>64</v>
      </c>
      <c r="G38" s="43" t="s">
        <v>57</v>
      </c>
      <c r="H38" s="44" t="s">
        <v>57</v>
      </c>
      <c r="I38" s="45" t="s">
        <v>57</v>
      </c>
      <c r="J38" s="46" t="s">
        <v>57</v>
      </c>
      <c r="K38" s="54" t="s">
        <v>64</v>
      </c>
      <c r="L38" s="48" t="s">
        <v>64</v>
      </c>
      <c r="M38" s="48" t="s">
        <v>219</v>
      </c>
      <c r="N38" s="48" t="s">
        <v>220</v>
      </c>
      <c r="O38" s="48" t="s">
        <v>221</v>
      </c>
      <c r="P38" s="48" t="s">
        <v>135</v>
      </c>
      <c r="Q38" s="48" t="s">
        <v>64</v>
      </c>
      <c r="R38" s="49" t="s">
        <v>103</v>
      </c>
      <c r="S38" s="49" t="s">
        <v>104</v>
      </c>
      <c r="T38" s="39"/>
    </row>
    <row r="39" spans="1:20" ht="34.049999999999997" customHeight="1" x14ac:dyDescent="0.3">
      <c r="A39" s="50">
        <v>34</v>
      </c>
      <c r="B39" s="63" t="s">
        <v>216</v>
      </c>
      <c r="C39" s="8" t="s">
        <v>222</v>
      </c>
      <c r="D39" s="51" t="s">
        <v>223</v>
      </c>
      <c r="E39" s="53" t="s">
        <v>111</v>
      </c>
      <c r="F39" s="54" t="s">
        <v>64</v>
      </c>
      <c r="G39" s="43" t="s">
        <v>57</v>
      </c>
      <c r="H39" s="44" t="s">
        <v>57</v>
      </c>
      <c r="I39" s="54" t="s">
        <v>64</v>
      </c>
      <c r="J39" s="54" t="s">
        <v>64</v>
      </c>
      <c r="K39" s="54" t="s">
        <v>64</v>
      </c>
      <c r="L39" s="52" t="s">
        <v>64</v>
      </c>
      <c r="M39" s="52" t="s">
        <v>219</v>
      </c>
      <c r="N39" s="52" t="s">
        <v>224</v>
      </c>
      <c r="O39" s="52" t="s">
        <v>64</v>
      </c>
      <c r="P39" s="52" t="s">
        <v>64</v>
      </c>
      <c r="Q39" s="52" t="s">
        <v>64</v>
      </c>
      <c r="R39" s="49" t="s">
        <v>103</v>
      </c>
      <c r="S39" s="49" t="s">
        <v>104</v>
      </c>
      <c r="T39" s="8"/>
    </row>
    <row r="40" spans="1:20" ht="34.049999999999997" customHeight="1" x14ac:dyDescent="0.3">
      <c r="A40" s="38">
        <v>35</v>
      </c>
      <c r="B40" s="62" t="s">
        <v>216</v>
      </c>
      <c r="C40" s="39" t="s">
        <v>225</v>
      </c>
      <c r="D40" s="40" t="s">
        <v>226</v>
      </c>
      <c r="E40" s="53" t="s">
        <v>111</v>
      </c>
      <c r="F40" s="54" t="s">
        <v>64</v>
      </c>
      <c r="G40" s="43" t="s">
        <v>57</v>
      </c>
      <c r="H40" s="44" t="s">
        <v>57</v>
      </c>
      <c r="I40" s="45" t="s">
        <v>57</v>
      </c>
      <c r="J40" s="54" t="s">
        <v>64</v>
      </c>
      <c r="K40" s="54" t="s">
        <v>64</v>
      </c>
      <c r="L40" s="48" t="s">
        <v>64</v>
      </c>
      <c r="M40" s="48" t="s">
        <v>163</v>
      </c>
      <c r="N40" s="48" t="s">
        <v>227</v>
      </c>
      <c r="O40" s="48" t="s">
        <v>228</v>
      </c>
      <c r="P40" s="48" t="s">
        <v>64</v>
      </c>
      <c r="Q40" s="48" t="s">
        <v>64</v>
      </c>
      <c r="R40" s="49" t="s">
        <v>103</v>
      </c>
      <c r="S40" s="49" t="s">
        <v>104</v>
      </c>
      <c r="T40" s="39"/>
    </row>
    <row r="41" spans="1:20" ht="34.049999999999997" customHeight="1" x14ac:dyDescent="0.3">
      <c r="A41" s="50">
        <v>36</v>
      </c>
      <c r="B41" s="63" t="s">
        <v>216</v>
      </c>
      <c r="C41" s="8" t="s">
        <v>229</v>
      </c>
      <c r="D41" s="51" t="s">
        <v>230</v>
      </c>
      <c r="E41" s="53" t="s">
        <v>111</v>
      </c>
      <c r="F41" s="54" t="s">
        <v>64</v>
      </c>
      <c r="G41" s="43" t="s">
        <v>57</v>
      </c>
      <c r="H41" s="44" t="s">
        <v>57</v>
      </c>
      <c r="I41" s="54" t="s">
        <v>64</v>
      </c>
      <c r="J41" s="54" t="s">
        <v>64</v>
      </c>
      <c r="K41" s="54" t="s">
        <v>64</v>
      </c>
      <c r="L41" s="52" t="s">
        <v>64</v>
      </c>
      <c r="M41" s="52" t="s">
        <v>163</v>
      </c>
      <c r="N41" s="52" t="s">
        <v>231</v>
      </c>
      <c r="O41" s="52" t="s">
        <v>64</v>
      </c>
      <c r="P41" s="52" t="s">
        <v>64</v>
      </c>
      <c r="Q41" s="52" t="s">
        <v>64</v>
      </c>
      <c r="R41" s="49" t="s">
        <v>103</v>
      </c>
      <c r="S41" s="49" t="s">
        <v>104</v>
      </c>
      <c r="T41" s="8"/>
    </row>
    <row r="42" spans="1:20" ht="34.049999999999997" customHeight="1" x14ac:dyDescent="0.3">
      <c r="A42" s="38">
        <v>37</v>
      </c>
      <c r="B42" s="62" t="s">
        <v>216</v>
      </c>
      <c r="C42" s="39" t="s">
        <v>232</v>
      </c>
      <c r="D42" s="40" t="s">
        <v>233</v>
      </c>
      <c r="E42" s="53" t="s">
        <v>111</v>
      </c>
      <c r="F42" s="54" t="s">
        <v>64</v>
      </c>
      <c r="G42" s="54" t="s">
        <v>64</v>
      </c>
      <c r="H42" s="44" t="s">
        <v>57</v>
      </c>
      <c r="I42" s="54" t="s">
        <v>64</v>
      </c>
      <c r="J42" s="54" t="s">
        <v>64</v>
      </c>
      <c r="K42" s="54" t="s">
        <v>64</v>
      </c>
      <c r="L42" s="48" t="s">
        <v>64</v>
      </c>
      <c r="M42" s="48" t="s">
        <v>64</v>
      </c>
      <c r="N42" s="48" t="s">
        <v>234</v>
      </c>
      <c r="O42" s="48" t="s">
        <v>64</v>
      </c>
      <c r="P42" s="48" t="s">
        <v>64</v>
      </c>
      <c r="Q42" s="48" t="s">
        <v>64</v>
      </c>
      <c r="R42" s="49" t="s">
        <v>103</v>
      </c>
      <c r="S42" s="49" t="s">
        <v>104</v>
      </c>
      <c r="T42" s="39"/>
    </row>
    <row r="43" spans="1:20" ht="34.049999999999997" customHeight="1" x14ac:dyDescent="0.3">
      <c r="A43" s="50">
        <v>38</v>
      </c>
      <c r="B43" s="63" t="s">
        <v>216</v>
      </c>
      <c r="C43" s="8" t="s">
        <v>235</v>
      </c>
      <c r="D43" s="51" t="s">
        <v>236</v>
      </c>
      <c r="E43" s="53" t="s">
        <v>111</v>
      </c>
      <c r="F43" s="54" t="s">
        <v>64</v>
      </c>
      <c r="G43" s="54" t="s">
        <v>64</v>
      </c>
      <c r="H43" s="44" t="s">
        <v>57</v>
      </c>
      <c r="I43" s="45" t="s">
        <v>57</v>
      </c>
      <c r="J43" s="54" t="s">
        <v>64</v>
      </c>
      <c r="K43" s="54" t="s">
        <v>64</v>
      </c>
      <c r="L43" s="52" t="s">
        <v>64</v>
      </c>
      <c r="M43" s="52" t="s">
        <v>64</v>
      </c>
      <c r="N43" s="52" t="s">
        <v>155</v>
      </c>
      <c r="O43" s="52" t="s">
        <v>100</v>
      </c>
      <c r="P43" s="52" t="s">
        <v>64</v>
      </c>
      <c r="Q43" s="52" t="s">
        <v>64</v>
      </c>
      <c r="R43" s="49" t="s">
        <v>103</v>
      </c>
      <c r="S43" s="49" t="s">
        <v>104</v>
      </c>
      <c r="T43" s="8"/>
    </row>
    <row r="44" spans="1:20" ht="34.049999999999997" customHeight="1" x14ac:dyDescent="0.3">
      <c r="A44" s="38">
        <v>39</v>
      </c>
      <c r="B44" s="62" t="s">
        <v>216</v>
      </c>
      <c r="C44" s="39" t="s">
        <v>237</v>
      </c>
      <c r="D44" s="40" t="s">
        <v>238</v>
      </c>
      <c r="E44" s="53" t="s">
        <v>111</v>
      </c>
      <c r="F44" s="54" t="s">
        <v>64</v>
      </c>
      <c r="G44" s="43" t="s">
        <v>57</v>
      </c>
      <c r="H44" s="44" t="s">
        <v>57</v>
      </c>
      <c r="I44" s="54" t="s">
        <v>64</v>
      </c>
      <c r="J44" s="54" t="s">
        <v>64</v>
      </c>
      <c r="K44" s="54" t="s">
        <v>64</v>
      </c>
      <c r="L44" s="48" t="s">
        <v>64</v>
      </c>
      <c r="M44" s="48" t="s">
        <v>239</v>
      </c>
      <c r="N44" s="48" t="s">
        <v>240</v>
      </c>
      <c r="O44" s="48" t="s">
        <v>64</v>
      </c>
      <c r="P44" s="48" t="s">
        <v>64</v>
      </c>
      <c r="Q44" s="48" t="s">
        <v>64</v>
      </c>
      <c r="R44" s="49" t="s">
        <v>103</v>
      </c>
      <c r="S44" s="49" t="s">
        <v>104</v>
      </c>
      <c r="T44" s="39"/>
    </row>
    <row r="45" spans="1:20" ht="34.049999999999997" customHeight="1" x14ac:dyDescent="0.3">
      <c r="A45" s="50">
        <v>40</v>
      </c>
      <c r="B45" s="63" t="s">
        <v>216</v>
      </c>
      <c r="C45" s="8" t="s">
        <v>241</v>
      </c>
      <c r="D45" s="51" t="s">
        <v>242</v>
      </c>
      <c r="E45" s="53" t="s">
        <v>111</v>
      </c>
      <c r="F45" s="54" t="s">
        <v>64</v>
      </c>
      <c r="G45" s="43" t="s">
        <v>57</v>
      </c>
      <c r="H45" s="44" t="s">
        <v>57</v>
      </c>
      <c r="I45" s="54" t="s">
        <v>64</v>
      </c>
      <c r="J45" s="54" t="s">
        <v>64</v>
      </c>
      <c r="K45" s="54" t="s">
        <v>64</v>
      </c>
      <c r="L45" s="52" t="s">
        <v>64</v>
      </c>
      <c r="M45" s="52" t="s">
        <v>243</v>
      </c>
      <c r="N45" s="52" t="s">
        <v>244</v>
      </c>
      <c r="O45" s="52" t="s">
        <v>64</v>
      </c>
      <c r="P45" s="52" t="s">
        <v>64</v>
      </c>
      <c r="Q45" s="52" t="s">
        <v>64</v>
      </c>
      <c r="R45" s="49" t="s">
        <v>103</v>
      </c>
      <c r="S45" s="49" t="s">
        <v>104</v>
      </c>
      <c r="T45" s="8"/>
    </row>
    <row r="46" spans="1:20" ht="34.049999999999997" customHeight="1" x14ac:dyDescent="0.3">
      <c r="A46" s="38">
        <v>41</v>
      </c>
      <c r="B46" s="62" t="s">
        <v>216</v>
      </c>
      <c r="C46" s="39" t="s">
        <v>245</v>
      </c>
      <c r="D46" s="40" t="s">
        <v>246</v>
      </c>
      <c r="E46" s="53" t="s">
        <v>111</v>
      </c>
      <c r="F46" s="54" t="s">
        <v>64</v>
      </c>
      <c r="G46" s="43" t="s">
        <v>57</v>
      </c>
      <c r="H46" s="44" t="s">
        <v>57</v>
      </c>
      <c r="I46" s="54" t="s">
        <v>64</v>
      </c>
      <c r="J46" s="54" t="s">
        <v>64</v>
      </c>
      <c r="K46" s="54" t="s">
        <v>64</v>
      </c>
      <c r="L46" s="48" t="s">
        <v>64</v>
      </c>
      <c r="M46" s="48" t="s">
        <v>247</v>
      </c>
      <c r="N46" s="48" t="s">
        <v>248</v>
      </c>
      <c r="O46" s="48" t="s">
        <v>64</v>
      </c>
      <c r="P46" s="48" t="s">
        <v>64</v>
      </c>
      <c r="Q46" s="48" t="s">
        <v>64</v>
      </c>
      <c r="R46" s="49" t="s">
        <v>103</v>
      </c>
      <c r="S46" s="49" t="s">
        <v>104</v>
      </c>
      <c r="T46" s="39"/>
    </row>
    <row r="47" spans="1:20" ht="34.049999999999997" customHeight="1" x14ac:dyDescent="0.3">
      <c r="A47" s="50">
        <v>42</v>
      </c>
      <c r="B47" s="64" t="s">
        <v>67</v>
      </c>
      <c r="C47" s="8" t="s">
        <v>249</v>
      </c>
      <c r="D47" s="51" t="s">
        <v>250</v>
      </c>
      <c r="E47" s="58" t="s">
        <v>162</v>
      </c>
      <c r="F47" s="42" t="s">
        <v>57</v>
      </c>
      <c r="G47" s="54" t="s">
        <v>64</v>
      </c>
      <c r="H47" s="44" t="s">
        <v>57</v>
      </c>
      <c r="I47" s="45" t="s">
        <v>57</v>
      </c>
      <c r="J47" s="46" t="s">
        <v>57</v>
      </c>
      <c r="K47" s="47" t="s">
        <v>57</v>
      </c>
      <c r="L47" s="52" t="s">
        <v>97</v>
      </c>
      <c r="M47" s="52" t="s">
        <v>64</v>
      </c>
      <c r="N47" s="52" t="s">
        <v>138</v>
      </c>
      <c r="O47" s="52" t="s">
        <v>100</v>
      </c>
      <c r="P47" s="52" t="s">
        <v>115</v>
      </c>
      <c r="Q47" s="52" t="s">
        <v>127</v>
      </c>
      <c r="R47" s="49" t="s">
        <v>103</v>
      </c>
      <c r="S47" s="49" t="s">
        <v>104</v>
      </c>
      <c r="T47" s="8"/>
    </row>
    <row r="48" spans="1:20" ht="34.049999999999997" customHeight="1" x14ac:dyDescent="0.3">
      <c r="A48" s="38">
        <v>43</v>
      </c>
      <c r="B48" s="65" t="s">
        <v>67</v>
      </c>
      <c r="C48" s="39" t="s">
        <v>251</v>
      </c>
      <c r="D48" s="40" t="s">
        <v>252</v>
      </c>
      <c r="E48" s="53" t="s">
        <v>111</v>
      </c>
      <c r="F48" s="42" t="s">
        <v>57</v>
      </c>
      <c r="G48" s="54" t="s">
        <v>64</v>
      </c>
      <c r="H48" s="44" t="s">
        <v>57</v>
      </c>
      <c r="I48" s="45" t="s">
        <v>57</v>
      </c>
      <c r="J48" s="46" t="s">
        <v>57</v>
      </c>
      <c r="K48" s="47" t="s">
        <v>57</v>
      </c>
      <c r="L48" s="48" t="s">
        <v>97</v>
      </c>
      <c r="M48" s="48" t="s">
        <v>64</v>
      </c>
      <c r="N48" s="48" t="s">
        <v>138</v>
      </c>
      <c r="O48" s="48" t="s">
        <v>253</v>
      </c>
      <c r="P48" s="48" t="s">
        <v>115</v>
      </c>
      <c r="Q48" s="48" t="s">
        <v>127</v>
      </c>
      <c r="R48" s="49" t="s">
        <v>103</v>
      </c>
      <c r="S48" s="49" t="s">
        <v>104</v>
      </c>
      <c r="T48" s="39"/>
    </row>
    <row r="49" spans="1:20" ht="34.049999999999997" customHeight="1" x14ac:dyDescent="0.3">
      <c r="A49" s="50">
        <v>44</v>
      </c>
      <c r="B49" s="64" t="s">
        <v>67</v>
      </c>
      <c r="C49" s="8" t="s">
        <v>254</v>
      </c>
      <c r="D49" s="51" t="s">
        <v>255</v>
      </c>
      <c r="E49" s="58" t="s">
        <v>162</v>
      </c>
      <c r="F49" s="42" t="s">
        <v>57</v>
      </c>
      <c r="G49" s="54" t="s">
        <v>64</v>
      </c>
      <c r="H49" s="44" t="s">
        <v>57</v>
      </c>
      <c r="I49" s="45" t="s">
        <v>57</v>
      </c>
      <c r="J49" s="46" t="s">
        <v>57</v>
      </c>
      <c r="K49" s="47" t="s">
        <v>57</v>
      </c>
      <c r="L49" s="52" t="s">
        <v>97</v>
      </c>
      <c r="M49" s="52" t="s">
        <v>64</v>
      </c>
      <c r="N49" s="52" t="s">
        <v>138</v>
      </c>
      <c r="O49" s="52" t="s">
        <v>256</v>
      </c>
      <c r="P49" s="52" t="s">
        <v>257</v>
      </c>
      <c r="Q49" s="52" t="s">
        <v>127</v>
      </c>
      <c r="R49" s="49" t="s">
        <v>103</v>
      </c>
      <c r="S49" s="49" t="s">
        <v>104</v>
      </c>
      <c r="T49" s="8"/>
    </row>
    <row r="50" spans="1:20" ht="34.049999999999997" customHeight="1" x14ac:dyDescent="0.3">
      <c r="A50" s="38">
        <v>45</v>
      </c>
      <c r="B50" s="65" t="s">
        <v>67</v>
      </c>
      <c r="C50" s="39" t="s">
        <v>258</v>
      </c>
      <c r="D50" s="40" t="s">
        <v>259</v>
      </c>
      <c r="E50" s="58" t="s">
        <v>162</v>
      </c>
      <c r="F50" s="42" t="s">
        <v>57</v>
      </c>
      <c r="G50" s="54" t="s">
        <v>64</v>
      </c>
      <c r="H50" s="44" t="s">
        <v>57</v>
      </c>
      <c r="I50" s="45" t="s">
        <v>57</v>
      </c>
      <c r="J50" s="54" t="s">
        <v>64</v>
      </c>
      <c r="K50" s="54" t="s">
        <v>64</v>
      </c>
      <c r="L50" s="48" t="s">
        <v>97</v>
      </c>
      <c r="M50" s="48" t="s">
        <v>64</v>
      </c>
      <c r="N50" s="48" t="s">
        <v>155</v>
      </c>
      <c r="O50" s="48" t="s">
        <v>256</v>
      </c>
      <c r="P50" s="48" t="s">
        <v>64</v>
      </c>
      <c r="Q50" s="48" t="s">
        <v>64</v>
      </c>
      <c r="R50" s="49" t="s">
        <v>103</v>
      </c>
      <c r="S50" s="49" t="s">
        <v>104</v>
      </c>
      <c r="T50" s="39"/>
    </row>
    <row r="51" spans="1:20" ht="34.049999999999997" customHeight="1" x14ac:dyDescent="0.3">
      <c r="A51" s="50">
        <v>46</v>
      </c>
      <c r="B51" s="64" t="s">
        <v>67</v>
      </c>
      <c r="C51" s="8" t="s">
        <v>260</v>
      </c>
      <c r="D51" s="51" t="s">
        <v>261</v>
      </c>
      <c r="E51" s="53" t="s">
        <v>111</v>
      </c>
      <c r="F51" s="42" t="s">
        <v>57</v>
      </c>
      <c r="G51" s="54" t="s">
        <v>64</v>
      </c>
      <c r="H51" s="54" t="s">
        <v>64</v>
      </c>
      <c r="I51" s="54" t="s">
        <v>64</v>
      </c>
      <c r="J51" s="54" t="s">
        <v>64</v>
      </c>
      <c r="K51" s="54" t="s">
        <v>64</v>
      </c>
      <c r="L51" s="52" t="s">
        <v>262</v>
      </c>
      <c r="M51" s="52" t="s">
        <v>64</v>
      </c>
      <c r="N51" s="52" t="s">
        <v>64</v>
      </c>
      <c r="O51" s="52" t="s">
        <v>64</v>
      </c>
      <c r="P51" s="52" t="s">
        <v>64</v>
      </c>
      <c r="Q51" s="52" t="s">
        <v>64</v>
      </c>
      <c r="R51" s="49" t="s">
        <v>103</v>
      </c>
      <c r="S51" s="49" t="s">
        <v>104</v>
      </c>
      <c r="T51" s="8"/>
    </row>
    <row r="52" spans="1:20" ht="34.049999999999997" customHeight="1" x14ac:dyDescent="0.3">
      <c r="A52" s="38">
        <v>47</v>
      </c>
      <c r="B52" s="65" t="s">
        <v>67</v>
      </c>
      <c r="C52" s="39" t="s">
        <v>263</v>
      </c>
      <c r="D52" s="40" t="s">
        <v>264</v>
      </c>
      <c r="E52" s="53" t="s">
        <v>111</v>
      </c>
      <c r="F52" s="42" t="s">
        <v>57</v>
      </c>
      <c r="G52" s="54" t="s">
        <v>64</v>
      </c>
      <c r="H52" s="54" t="s">
        <v>64</v>
      </c>
      <c r="I52" s="54" t="s">
        <v>64</v>
      </c>
      <c r="J52" s="54" t="s">
        <v>64</v>
      </c>
      <c r="K52" s="54" t="s">
        <v>64</v>
      </c>
      <c r="L52" s="48" t="s">
        <v>227</v>
      </c>
      <c r="M52" s="48" t="s">
        <v>64</v>
      </c>
      <c r="N52" s="48" t="s">
        <v>64</v>
      </c>
      <c r="O52" s="48" t="s">
        <v>64</v>
      </c>
      <c r="P52" s="48" t="s">
        <v>64</v>
      </c>
      <c r="Q52" s="48" t="s">
        <v>64</v>
      </c>
      <c r="R52" s="49" t="s">
        <v>103</v>
      </c>
      <c r="S52" s="49" t="s">
        <v>104</v>
      </c>
      <c r="T52" s="39"/>
    </row>
    <row r="53" spans="1:20" ht="34.049999999999997" customHeight="1" x14ac:dyDescent="0.3">
      <c r="A53" s="50">
        <v>48</v>
      </c>
      <c r="B53" s="64" t="s">
        <v>67</v>
      </c>
      <c r="C53" s="8" t="s">
        <v>265</v>
      </c>
      <c r="D53" s="51" t="s">
        <v>266</v>
      </c>
      <c r="E53" s="53" t="s">
        <v>111</v>
      </c>
      <c r="F53" s="42" t="s">
        <v>57</v>
      </c>
      <c r="G53" s="54" t="s">
        <v>64</v>
      </c>
      <c r="H53" s="44" t="s">
        <v>57</v>
      </c>
      <c r="I53" s="45" t="s">
        <v>57</v>
      </c>
      <c r="J53" s="54" t="s">
        <v>64</v>
      </c>
      <c r="K53" s="54" t="s">
        <v>64</v>
      </c>
      <c r="L53" s="52" t="s">
        <v>97</v>
      </c>
      <c r="M53" s="52" t="s">
        <v>64</v>
      </c>
      <c r="N53" s="52" t="s">
        <v>155</v>
      </c>
      <c r="O53" s="52" t="s">
        <v>256</v>
      </c>
      <c r="P53" s="52" t="s">
        <v>64</v>
      </c>
      <c r="Q53" s="52" t="s">
        <v>64</v>
      </c>
      <c r="R53" s="49" t="s">
        <v>103</v>
      </c>
      <c r="S53" s="49" t="s">
        <v>104</v>
      </c>
      <c r="T53" s="8"/>
    </row>
    <row r="54" spans="1:20" ht="34.049999999999997" customHeight="1" x14ac:dyDescent="0.3">
      <c r="A54" s="38">
        <v>49</v>
      </c>
      <c r="B54" s="65" t="s">
        <v>67</v>
      </c>
      <c r="C54" s="39" t="s">
        <v>267</v>
      </c>
      <c r="D54" s="40" t="s">
        <v>268</v>
      </c>
      <c r="E54" s="58" t="s">
        <v>162</v>
      </c>
      <c r="F54" s="42" t="s">
        <v>57</v>
      </c>
      <c r="G54" s="54" t="s">
        <v>64</v>
      </c>
      <c r="H54" s="44" t="s">
        <v>57</v>
      </c>
      <c r="I54" s="45" t="s">
        <v>57</v>
      </c>
      <c r="J54" s="46" t="s">
        <v>57</v>
      </c>
      <c r="K54" s="47" t="s">
        <v>57</v>
      </c>
      <c r="L54" s="48" t="s">
        <v>97</v>
      </c>
      <c r="M54" s="48" t="s">
        <v>64</v>
      </c>
      <c r="N54" s="48" t="s">
        <v>138</v>
      </c>
      <c r="O54" s="48" t="s">
        <v>164</v>
      </c>
      <c r="P54" s="48" t="s">
        <v>165</v>
      </c>
      <c r="Q54" s="48" t="s">
        <v>127</v>
      </c>
      <c r="R54" s="49" t="s">
        <v>103</v>
      </c>
      <c r="S54" s="49" t="s">
        <v>104</v>
      </c>
      <c r="T54" s="39"/>
    </row>
    <row r="55" spans="1:20" ht="34.049999999999997" customHeight="1" x14ac:dyDescent="0.3">
      <c r="A55" s="50">
        <v>50</v>
      </c>
      <c r="B55" s="66" t="s">
        <v>269</v>
      </c>
      <c r="C55" s="8" t="s">
        <v>270</v>
      </c>
      <c r="D55" s="51" t="s">
        <v>271</v>
      </c>
      <c r="E55" s="58" t="s">
        <v>162</v>
      </c>
      <c r="F55" s="42" t="s">
        <v>57</v>
      </c>
      <c r="G55" s="54" t="s">
        <v>64</v>
      </c>
      <c r="H55" s="44" t="s">
        <v>57</v>
      </c>
      <c r="I55" s="45" t="s">
        <v>57</v>
      </c>
      <c r="J55" s="46" t="s">
        <v>57</v>
      </c>
      <c r="K55" s="47" t="s">
        <v>57</v>
      </c>
      <c r="L55" s="52" t="s">
        <v>97</v>
      </c>
      <c r="M55" s="52" t="s">
        <v>64</v>
      </c>
      <c r="N55" s="52" t="s">
        <v>138</v>
      </c>
      <c r="O55" s="52" t="s">
        <v>164</v>
      </c>
      <c r="P55" s="52" t="s">
        <v>165</v>
      </c>
      <c r="Q55" s="52" t="s">
        <v>127</v>
      </c>
      <c r="R55" s="49" t="s">
        <v>103</v>
      </c>
      <c r="S55" s="49" t="s">
        <v>104</v>
      </c>
      <c r="T55" s="8"/>
    </row>
    <row r="56" spans="1:20" ht="34.049999999999997" customHeight="1" x14ac:dyDescent="0.3">
      <c r="A56" s="38">
        <v>51</v>
      </c>
      <c r="B56" s="67" t="s">
        <v>269</v>
      </c>
      <c r="C56" s="39" t="s">
        <v>272</v>
      </c>
      <c r="D56" s="40" t="s">
        <v>273</v>
      </c>
      <c r="E56" s="58" t="s">
        <v>162</v>
      </c>
      <c r="F56" s="42" t="s">
        <v>57</v>
      </c>
      <c r="G56" s="54" t="s">
        <v>64</v>
      </c>
      <c r="H56" s="44" t="s">
        <v>57</v>
      </c>
      <c r="I56" s="45" t="s">
        <v>57</v>
      </c>
      <c r="J56" s="46" t="s">
        <v>57</v>
      </c>
      <c r="K56" s="47" t="s">
        <v>57</v>
      </c>
      <c r="L56" s="48" t="s">
        <v>97</v>
      </c>
      <c r="M56" s="48" t="s">
        <v>64</v>
      </c>
      <c r="N56" s="48" t="s">
        <v>138</v>
      </c>
      <c r="O56" s="48" t="s">
        <v>164</v>
      </c>
      <c r="P56" s="48" t="s">
        <v>165</v>
      </c>
      <c r="Q56" s="48" t="s">
        <v>127</v>
      </c>
      <c r="R56" s="49" t="s">
        <v>103</v>
      </c>
      <c r="S56" s="49" t="s">
        <v>104</v>
      </c>
      <c r="T56" s="39"/>
    </row>
    <row r="57" spans="1:20" ht="34.049999999999997" customHeight="1" x14ac:dyDescent="0.3">
      <c r="A57" s="50">
        <v>52</v>
      </c>
      <c r="B57" s="66" t="s">
        <v>269</v>
      </c>
      <c r="C57" s="8" t="s">
        <v>274</v>
      </c>
      <c r="D57" s="51" t="s">
        <v>275</v>
      </c>
      <c r="E57" s="58" t="s">
        <v>162</v>
      </c>
      <c r="F57" s="42" t="s">
        <v>57</v>
      </c>
      <c r="G57" s="54" t="s">
        <v>64</v>
      </c>
      <c r="H57" s="44" t="s">
        <v>57</v>
      </c>
      <c r="I57" s="45" t="s">
        <v>57</v>
      </c>
      <c r="J57" s="46" t="s">
        <v>57</v>
      </c>
      <c r="K57" s="47" t="s">
        <v>57</v>
      </c>
      <c r="L57" s="52" t="s">
        <v>97</v>
      </c>
      <c r="M57" s="52" t="s">
        <v>64</v>
      </c>
      <c r="N57" s="52" t="s">
        <v>138</v>
      </c>
      <c r="O57" s="52" t="s">
        <v>134</v>
      </c>
      <c r="P57" s="52" t="s">
        <v>165</v>
      </c>
      <c r="Q57" s="52" t="s">
        <v>127</v>
      </c>
      <c r="R57" s="49" t="s">
        <v>103</v>
      </c>
      <c r="S57" s="49" t="s">
        <v>104</v>
      </c>
      <c r="T57" s="8"/>
    </row>
    <row r="58" spans="1:20" ht="34.049999999999997" customHeight="1" x14ac:dyDescent="0.3">
      <c r="A58" s="38">
        <v>53</v>
      </c>
      <c r="B58" s="67" t="s">
        <v>269</v>
      </c>
      <c r="C58" s="39" t="s">
        <v>276</v>
      </c>
      <c r="D58" s="40" t="s">
        <v>277</v>
      </c>
      <c r="E58" s="58" t="s">
        <v>162</v>
      </c>
      <c r="F58" s="42" t="s">
        <v>57</v>
      </c>
      <c r="G58" s="54" t="s">
        <v>64</v>
      </c>
      <c r="H58" s="44" t="s">
        <v>57</v>
      </c>
      <c r="I58" s="45" t="s">
        <v>57</v>
      </c>
      <c r="J58" s="46" t="s">
        <v>57</v>
      </c>
      <c r="K58" s="47" t="s">
        <v>57</v>
      </c>
      <c r="L58" s="48" t="s">
        <v>97</v>
      </c>
      <c r="M58" s="48" t="s">
        <v>64</v>
      </c>
      <c r="N58" s="48" t="s">
        <v>138</v>
      </c>
      <c r="O58" s="48" t="s">
        <v>164</v>
      </c>
      <c r="P58" s="48" t="s">
        <v>165</v>
      </c>
      <c r="Q58" s="48" t="s">
        <v>127</v>
      </c>
      <c r="R58" s="49" t="s">
        <v>103</v>
      </c>
      <c r="S58" s="49" t="s">
        <v>104</v>
      </c>
      <c r="T58" s="39"/>
    </row>
    <row r="59" spans="1:20" ht="34.049999999999997" customHeight="1" x14ac:dyDescent="0.3">
      <c r="A59" s="50">
        <v>54</v>
      </c>
      <c r="B59" s="66" t="s">
        <v>269</v>
      </c>
      <c r="C59" s="8" t="s">
        <v>278</v>
      </c>
      <c r="D59" s="51" t="s">
        <v>279</v>
      </c>
      <c r="E59" s="58" t="s">
        <v>162</v>
      </c>
      <c r="F59" s="42" t="s">
        <v>57</v>
      </c>
      <c r="G59" s="54" t="s">
        <v>64</v>
      </c>
      <c r="H59" s="44" t="s">
        <v>57</v>
      </c>
      <c r="I59" s="45" t="s">
        <v>57</v>
      </c>
      <c r="J59" s="46" t="s">
        <v>57</v>
      </c>
      <c r="K59" s="54" t="s">
        <v>64</v>
      </c>
      <c r="L59" s="52" t="s">
        <v>97</v>
      </c>
      <c r="M59" s="52" t="s">
        <v>64</v>
      </c>
      <c r="N59" s="52" t="s">
        <v>138</v>
      </c>
      <c r="O59" s="52" t="s">
        <v>164</v>
      </c>
      <c r="P59" s="52" t="s">
        <v>165</v>
      </c>
      <c r="Q59" s="52" t="s">
        <v>64</v>
      </c>
      <c r="R59" s="49" t="s">
        <v>103</v>
      </c>
      <c r="S59" s="49" t="s">
        <v>104</v>
      </c>
      <c r="T59" s="8"/>
    </row>
    <row r="60" spans="1:20" ht="34.049999999999997" customHeight="1" x14ac:dyDescent="0.3">
      <c r="A60" s="38">
        <v>55</v>
      </c>
      <c r="B60" s="67" t="s">
        <v>269</v>
      </c>
      <c r="C60" s="39" t="s">
        <v>280</v>
      </c>
      <c r="D60" s="40" t="s">
        <v>281</v>
      </c>
      <c r="E60" s="58" t="s">
        <v>162</v>
      </c>
      <c r="F60" s="42" t="s">
        <v>57</v>
      </c>
      <c r="G60" s="54" t="s">
        <v>64</v>
      </c>
      <c r="H60" s="44" t="s">
        <v>57</v>
      </c>
      <c r="I60" s="45" t="s">
        <v>57</v>
      </c>
      <c r="J60" s="46" t="s">
        <v>57</v>
      </c>
      <c r="K60" s="47" t="s">
        <v>57</v>
      </c>
      <c r="L60" s="48" t="s">
        <v>97</v>
      </c>
      <c r="M60" s="48" t="s">
        <v>64</v>
      </c>
      <c r="N60" s="48" t="s">
        <v>138</v>
      </c>
      <c r="O60" s="48" t="s">
        <v>134</v>
      </c>
      <c r="P60" s="48" t="s">
        <v>165</v>
      </c>
      <c r="Q60" s="48" t="s">
        <v>127</v>
      </c>
      <c r="R60" s="49" t="s">
        <v>103</v>
      </c>
      <c r="S60" s="49" t="s">
        <v>104</v>
      </c>
      <c r="T60" s="39"/>
    </row>
    <row r="61" spans="1:20" ht="34.049999999999997" customHeight="1" x14ac:dyDescent="0.3">
      <c r="A61" s="50">
        <v>56</v>
      </c>
      <c r="B61" s="66" t="s">
        <v>269</v>
      </c>
      <c r="C61" s="8" t="s">
        <v>282</v>
      </c>
      <c r="D61" s="51" t="s">
        <v>283</v>
      </c>
      <c r="E61" s="58" t="s">
        <v>162</v>
      </c>
      <c r="F61" s="42" t="s">
        <v>57</v>
      </c>
      <c r="G61" s="54" t="s">
        <v>64</v>
      </c>
      <c r="H61" s="44" t="s">
        <v>57</v>
      </c>
      <c r="I61" s="45" t="s">
        <v>57</v>
      </c>
      <c r="J61" s="54" t="s">
        <v>64</v>
      </c>
      <c r="K61" s="54" t="s">
        <v>64</v>
      </c>
      <c r="L61" s="52" t="s">
        <v>97</v>
      </c>
      <c r="M61" s="52" t="s">
        <v>64</v>
      </c>
      <c r="N61" s="52" t="s">
        <v>138</v>
      </c>
      <c r="O61" s="52" t="s">
        <v>164</v>
      </c>
      <c r="P61" s="52" t="s">
        <v>64</v>
      </c>
      <c r="Q61" s="52" t="s">
        <v>64</v>
      </c>
      <c r="R61" s="49" t="s">
        <v>103</v>
      </c>
      <c r="S61" s="49" t="s">
        <v>104</v>
      </c>
      <c r="T61" s="8"/>
    </row>
    <row r="62" spans="1:20" ht="34.049999999999997" customHeight="1" x14ac:dyDescent="0.3">
      <c r="A62" s="38">
        <v>57</v>
      </c>
      <c r="B62" s="61" t="s">
        <v>284</v>
      </c>
      <c r="C62" s="39" t="s">
        <v>285</v>
      </c>
      <c r="D62" s="40" t="s">
        <v>286</v>
      </c>
      <c r="E62" s="58" t="s">
        <v>162</v>
      </c>
      <c r="F62" s="42" t="s">
        <v>57</v>
      </c>
      <c r="G62" s="54" t="s">
        <v>64</v>
      </c>
      <c r="H62" s="44" t="s">
        <v>57</v>
      </c>
      <c r="I62" s="45" t="s">
        <v>57</v>
      </c>
      <c r="J62" s="46" t="s">
        <v>57</v>
      </c>
      <c r="K62" s="47" t="s">
        <v>57</v>
      </c>
      <c r="L62" s="48" t="s">
        <v>97</v>
      </c>
      <c r="M62" s="48" t="s">
        <v>64</v>
      </c>
      <c r="N62" s="48" t="s">
        <v>138</v>
      </c>
      <c r="O62" s="48" t="s">
        <v>287</v>
      </c>
      <c r="P62" s="48" t="s">
        <v>200</v>
      </c>
      <c r="Q62" s="48" t="s">
        <v>127</v>
      </c>
      <c r="R62" s="49" t="s">
        <v>103</v>
      </c>
      <c r="S62" s="49" t="s">
        <v>104</v>
      </c>
      <c r="T62" s="39"/>
    </row>
    <row r="63" spans="1:20" ht="34.049999999999997" customHeight="1" x14ac:dyDescent="0.3">
      <c r="A63" s="50">
        <v>58</v>
      </c>
      <c r="B63" s="60" t="s">
        <v>284</v>
      </c>
      <c r="C63" s="8" t="s">
        <v>288</v>
      </c>
      <c r="D63" s="51" t="s">
        <v>289</v>
      </c>
      <c r="E63" s="58" t="s">
        <v>162</v>
      </c>
      <c r="F63" s="42" t="s">
        <v>57</v>
      </c>
      <c r="G63" s="54" t="s">
        <v>64</v>
      </c>
      <c r="H63" s="44" t="s">
        <v>57</v>
      </c>
      <c r="I63" s="45" t="s">
        <v>57</v>
      </c>
      <c r="J63" s="46" t="s">
        <v>57</v>
      </c>
      <c r="K63" s="47" t="s">
        <v>57</v>
      </c>
      <c r="L63" s="52" t="s">
        <v>97</v>
      </c>
      <c r="M63" s="52" t="s">
        <v>64</v>
      </c>
      <c r="N63" s="52" t="s">
        <v>138</v>
      </c>
      <c r="O63" s="52" t="s">
        <v>290</v>
      </c>
      <c r="P63" s="52" t="s">
        <v>200</v>
      </c>
      <c r="Q63" s="52" t="s">
        <v>127</v>
      </c>
      <c r="R63" s="49" t="s">
        <v>103</v>
      </c>
      <c r="S63" s="49" t="s">
        <v>104</v>
      </c>
      <c r="T63" s="8"/>
    </row>
    <row r="64" spans="1:20" ht="34.049999999999997" customHeight="1" x14ac:dyDescent="0.3">
      <c r="A64" s="38">
        <v>59</v>
      </c>
      <c r="B64" s="61" t="s">
        <v>284</v>
      </c>
      <c r="C64" s="39" t="s">
        <v>291</v>
      </c>
      <c r="D64" s="40" t="s">
        <v>292</v>
      </c>
      <c r="E64" s="58" t="s">
        <v>162</v>
      </c>
      <c r="F64" s="42" t="s">
        <v>57</v>
      </c>
      <c r="G64" s="43" t="s">
        <v>57</v>
      </c>
      <c r="H64" s="44" t="s">
        <v>57</v>
      </c>
      <c r="I64" s="45" t="s">
        <v>57</v>
      </c>
      <c r="J64" s="46" t="s">
        <v>57</v>
      </c>
      <c r="K64" s="47" t="s">
        <v>57</v>
      </c>
      <c r="L64" s="48" t="s">
        <v>97</v>
      </c>
      <c r="M64" s="48" t="s">
        <v>112</v>
      </c>
      <c r="N64" s="48" t="s">
        <v>138</v>
      </c>
      <c r="O64" s="48" t="s">
        <v>287</v>
      </c>
      <c r="P64" s="48" t="s">
        <v>200</v>
      </c>
      <c r="Q64" s="48" t="s">
        <v>127</v>
      </c>
      <c r="R64" s="49" t="s">
        <v>103</v>
      </c>
      <c r="S64" s="49" t="s">
        <v>104</v>
      </c>
      <c r="T64" s="39"/>
    </row>
    <row r="65" spans="1:20" ht="34.049999999999997" customHeight="1" x14ac:dyDescent="0.3">
      <c r="A65" s="50">
        <v>60</v>
      </c>
      <c r="B65" s="60" t="s">
        <v>284</v>
      </c>
      <c r="C65" s="8" t="s">
        <v>293</v>
      </c>
      <c r="D65" s="51" t="s">
        <v>294</v>
      </c>
      <c r="E65" s="58" t="s">
        <v>162</v>
      </c>
      <c r="F65" s="42" t="s">
        <v>57</v>
      </c>
      <c r="G65" s="43" t="s">
        <v>57</v>
      </c>
      <c r="H65" s="44" t="s">
        <v>57</v>
      </c>
      <c r="I65" s="45" t="s">
        <v>57</v>
      </c>
      <c r="J65" s="46" t="s">
        <v>57</v>
      </c>
      <c r="K65" s="47" t="s">
        <v>57</v>
      </c>
      <c r="L65" s="52" t="s">
        <v>97</v>
      </c>
      <c r="M65" s="52" t="s">
        <v>295</v>
      </c>
      <c r="N65" s="52" t="s">
        <v>138</v>
      </c>
      <c r="O65" s="52" t="s">
        <v>287</v>
      </c>
      <c r="P65" s="52" t="s">
        <v>200</v>
      </c>
      <c r="Q65" s="52" t="s">
        <v>296</v>
      </c>
      <c r="R65" s="49" t="s">
        <v>103</v>
      </c>
      <c r="S65" s="49" t="s">
        <v>104</v>
      </c>
      <c r="T65" s="8"/>
    </row>
    <row r="66" spans="1:20" ht="34.049999999999997" customHeight="1" x14ac:dyDescent="0.3">
      <c r="A66" s="38">
        <v>61</v>
      </c>
      <c r="B66" s="61" t="s">
        <v>284</v>
      </c>
      <c r="C66" s="39" t="s">
        <v>297</v>
      </c>
      <c r="D66" s="40" t="s">
        <v>298</v>
      </c>
      <c r="E66" s="58" t="s">
        <v>162</v>
      </c>
      <c r="F66" s="42" t="s">
        <v>57</v>
      </c>
      <c r="G66" s="43" t="s">
        <v>57</v>
      </c>
      <c r="H66" s="44" t="s">
        <v>57</v>
      </c>
      <c r="I66" s="45" t="s">
        <v>57</v>
      </c>
      <c r="J66" s="46" t="s">
        <v>57</v>
      </c>
      <c r="K66" s="47" t="s">
        <v>57</v>
      </c>
      <c r="L66" s="48" t="s">
        <v>97</v>
      </c>
      <c r="M66" s="48" t="s">
        <v>112</v>
      </c>
      <c r="N66" s="48" t="s">
        <v>138</v>
      </c>
      <c r="O66" s="48" t="s">
        <v>287</v>
      </c>
      <c r="P66" s="48" t="s">
        <v>200</v>
      </c>
      <c r="Q66" s="48" t="s">
        <v>299</v>
      </c>
      <c r="R66" s="49" t="s">
        <v>103</v>
      </c>
      <c r="S66" s="49" t="s">
        <v>104</v>
      </c>
      <c r="T66" s="39"/>
    </row>
    <row r="67" spans="1:20" ht="34.049999999999997" customHeight="1" x14ac:dyDescent="0.3">
      <c r="A67" s="50">
        <v>62</v>
      </c>
      <c r="B67" s="60" t="s">
        <v>284</v>
      </c>
      <c r="C67" s="8" t="s">
        <v>300</v>
      </c>
      <c r="D67" s="51" t="s">
        <v>301</v>
      </c>
      <c r="E67" s="58" t="s">
        <v>162</v>
      </c>
      <c r="F67" s="42" t="s">
        <v>57</v>
      </c>
      <c r="G67" s="43" t="s">
        <v>57</v>
      </c>
      <c r="H67" s="44" t="s">
        <v>57</v>
      </c>
      <c r="I67" s="45" t="s">
        <v>57</v>
      </c>
      <c r="J67" s="54" t="s">
        <v>64</v>
      </c>
      <c r="K67" s="54" t="s">
        <v>64</v>
      </c>
      <c r="L67" s="52" t="s">
        <v>97</v>
      </c>
      <c r="M67" s="52" t="s">
        <v>302</v>
      </c>
      <c r="N67" s="52" t="s">
        <v>138</v>
      </c>
      <c r="O67" s="52" t="s">
        <v>287</v>
      </c>
      <c r="P67" s="52" t="s">
        <v>64</v>
      </c>
      <c r="Q67" s="52" t="s">
        <v>64</v>
      </c>
      <c r="R67" s="49" t="s">
        <v>103</v>
      </c>
      <c r="S67" s="49" t="s">
        <v>104</v>
      </c>
      <c r="T67" s="8"/>
    </row>
    <row r="68" spans="1:20" ht="34.049999999999997" customHeight="1" x14ac:dyDescent="0.3">
      <c r="A68" s="38">
        <v>63</v>
      </c>
      <c r="B68" s="61" t="s">
        <v>284</v>
      </c>
      <c r="C68" s="39" t="s">
        <v>303</v>
      </c>
      <c r="D68" s="40" t="s">
        <v>304</v>
      </c>
      <c r="E68" s="58" t="s">
        <v>162</v>
      </c>
      <c r="F68" s="54" t="s">
        <v>64</v>
      </c>
      <c r="G68" s="54" t="s">
        <v>64</v>
      </c>
      <c r="H68" s="44" t="s">
        <v>57</v>
      </c>
      <c r="I68" s="45" t="s">
        <v>57</v>
      </c>
      <c r="J68" s="46" t="s">
        <v>57</v>
      </c>
      <c r="K68" s="47" t="s">
        <v>57</v>
      </c>
      <c r="L68" s="48" t="s">
        <v>64</v>
      </c>
      <c r="M68" s="48" t="s">
        <v>64</v>
      </c>
      <c r="N68" s="48" t="s">
        <v>138</v>
      </c>
      <c r="O68" s="48" t="s">
        <v>290</v>
      </c>
      <c r="P68" s="48" t="s">
        <v>200</v>
      </c>
      <c r="Q68" s="48" t="s">
        <v>127</v>
      </c>
      <c r="R68" s="49" t="s">
        <v>103</v>
      </c>
      <c r="S68" s="49" t="s">
        <v>104</v>
      </c>
      <c r="T68" s="39"/>
    </row>
    <row r="69" spans="1:20" ht="34.049999999999997" customHeight="1" x14ac:dyDescent="0.3">
      <c r="A69" s="50">
        <v>64</v>
      </c>
      <c r="B69" s="60" t="s">
        <v>284</v>
      </c>
      <c r="C69" s="8" t="s">
        <v>305</v>
      </c>
      <c r="D69" s="51" t="s">
        <v>306</v>
      </c>
      <c r="E69" s="58" t="s">
        <v>162</v>
      </c>
      <c r="F69" s="42" t="s">
        <v>57</v>
      </c>
      <c r="G69" s="54" t="s">
        <v>64</v>
      </c>
      <c r="H69" s="44" t="s">
        <v>57</v>
      </c>
      <c r="I69" s="45" t="s">
        <v>57</v>
      </c>
      <c r="J69" s="46" t="s">
        <v>57</v>
      </c>
      <c r="K69" s="47" t="s">
        <v>57</v>
      </c>
      <c r="L69" s="52" t="s">
        <v>97</v>
      </c>
      <c r="M69" s="52" t="s">
        <v>64</v>
      </c>
      <c r="N69" s="52" t="s">
        <v>138</v>
      </c>
      <c r="O69" s="52" t="s">
        <v>307</v>
      </c>
      <c r="P69" s="52" t="s">
        <v>200</v>
      </c>
      <c r="Q69" s="52" t="s">
        <v>127</v>
      </c>
      <c r="R69" s="49" t="s">
        <v>103</v>
      </c>
      <c r="S69" s="49" t="s">
        <v>104</v>
      </c>
      <c r="T69" s="8"/>
    </row>
    <row r="70" spans="1:20" ht="34.049999999999997" customHeight="1" x14ac:dyDescent="0.3">
      <c r="A70" s="38">
        <v>65</v>
      </c>
      <c r="B70" s="55" t="s">
        <v>308</v>
      </c>
      <c r="C70" s="39" t="s">
        <v>309</v>
      </c>
      <c r="D70" s="40" t="s">
        <v>310</v>
      </c>
      <c r="E70" s="53" t="s">
        <v>111</v>
      </c>
      <c r="F70" s="42" t="s">
        <v>57</v>
      </c>
      <c r="G70" s="43" t="s">
        <v>57</v>
      </c>
      <c r="H70" s="44" t="s">
        <v>57</v>
      </c>
      <c r="I70" s="45" t="s">
        <v>57</v>
      </c>
      <c r="J70" s="46" t="s">
        <v>57</v>
      </c>
      <c r="K70" s="47" t="s">
        <v>57</v>
      </c>
      <c r="L70" s="48" t="s">
        <v>122</v>
      </c>
      <c r="M70" s="48" t="s">
        <v>243</v>
      </c>
      <c r="N70" s="48" t="s">
        <v>311</v>
      </c>
      <c r="O70" s="48" t="s">
        <v>290</v>
      </c>
      <c r="P70" s="48" t="s">
        <v>312</v>
      </c>
      <c r="Q70" s="48" t="s">
        <v>127</v>
      </c>
      <c r="R70" s="49" t="s">
        <v>103</v>
      </c>
      <c r="S70" s="49" t="s">
        <v>104</v>
      </c>
      <c r="T70" s="39"/>
    </row>
    <row r="71" spans="1:20" ht="34.049999999999997" customHeight="1" x14ac:dyDescent="0.3">
      <c r="A71" s="50">
        <v>66</v>
      </c>
      <c r="B71" s="56" t="s">
        <v>308</v>
      </c>
      <c r="C71" s="8" t="s">
        <v>313</v>
      </c>
      <c r="D71" s="51" t="s">
        <v>314</v>
      </c>
      <c r="E71" s="53" t="s">
        <v>111</v>
      </c>
      <c r="F71" s="42" t="s">
        <v>57</v>
      </c>
      <c r="G71" s="43" t="s">
        <v>57</v>
      </c>
      <c r="H71" s="44" t="s">
        <v>57</v>
      </c>
      <c r="I71" s="45" t="s">
        <v>57</v>
      </c>
      <c r="J71" s="46" t="s">
        <v>57</v>
      </c>
      <c r="K71" s="47" t="s">
        <v>57</v>
      </c>
      <c r="L71" s="52" t="s">
        <v>122</v>
      </c>
      <c r="M71" s="52" t="s">
        <v>243</v>
      </c>
      <c r="N71" s="52" t="s">
        <v>311</v>
      </c>
      <c r="O71" s="52" t="s">
        <v>290</v>
      </c>
      <c r="P71" s="52" t="s">
        <v>312</v>
      </c>
      <c r="Q71" s="52" t="s">
        <v>127</v>
      </c>
      <c r="R71" s="49" t="s">
        <v>103</v>
      </c>
      <c r="S71" s="49" t="s">
        <v>104</v>
      </c>
      <c r="T71" s="8"/>
    </row>
    <row r="72" spans="1:20" ht="34.049999999999997" customHeight="1" x14ac:dyDescent="0.3">
      <c r="A72" s="38">
        <v>67</v>
      </c>
      <c r="B72" s="55" t="s">
        <v>308</v>
      </c>
      <c r="C72" s="39" t="s">
        <v>315</v>
      </c>
      <c r="D72" s="40" t="s">
        <v>316</v>
      </c>
      <c r="E72" s="53" t="s">
        <v>111</v>
      </c>
      <c r="F72" s="42" t="s">
        <v>57</v>
      </c>
      <c r="G72" s="43" t="s">
        <v>57</v>
      </c>
      <c r="H72" s="44" t="s">
        <v>57</v>
      </c>
      <c r="I72" s="45" t="s">
        <v>57</v>
      </c>
      <c r="J72" s="46" t="s">
        <v>57</v>
      </c>
      <c r="K72" s="54" t="s">
        <v>64</v>
      </c>
      <c r="L72" s="48" t="s">
        <v>122</v>
      </c>
      <c r="M72" s="48" t="s">
        <v>317</v>
      </c>
      <c r="N72" s="48" t="s">
        <v>318</v>
      </c>
      <c r="O72" s="48" t="s">
        <v>319</v>
      </c>
      <c r="P72" s="48" t="s">
        <v>312</v>
      </c>
      <c r="Q72" s="48" t="s">
        <v>64</v>
      </c>
      <c r="R72" s="49" t="s">
        <v>103</v>
      </c>
      <c r="S72" s="49" t="s">
        <v>104</v>
      </c>
      <c r="T72" s="39"/>
    </row>
    <row r="73" spans="1:20" ht="34.049999999999997" customHeight="1" x14ac:dyDescent="0.3">
      <c r="A73" s="50">
        <v>68</v>
      </c>
      <c r="B73" s="56" t="s">
        <v>308</v>
      </c>
      <c r="C73" s="8" t="s">
        <v>320</v>
      </c>
      <c r="D73" s="51" t="s">
        <v>321</v>
      </c>
      <c r="E73" s="53" t="s">
        <v>111</v>
      </c>
      <c r="F73" s="54" t="s">
        <v>64</v>
      </c>
      <c r="G73" s="43" t="s">
        <v>57</v>
      </c>
      <c r="H73" s="44" t="s">
        <v>57</v>
      </c>
      <c r="I73" s="45" t="s">
        <v>57</v>
      </c>
      <c r="J73" s="46" t="s">
        <v>57</v>
      </c>
      <c r="K73" s="54" t="s">
        <v>64</v>
      </c>
      <c r="L73" s="52" t="s">
        <v>64</v>
      </c>
      <c r="M73" s="52" t="s">
        <v>243</v>
      </c>
      <c r="N73" s="52" t="s">
        <v>322</v>
      </c>
      <c r="O73" s="52" t="s">
        <v>323</v>
      </c>
      <c r="P73" s="52" t="s">
        <v>312</v>
      </c>
      <c r="Q73" s="52" t="s">
        <v>64</v>
      </c>
      <c r="R73" s="49" t="s">
        <v>103</v>
      </c>
      <c r="S73" s="49" t="s">
        <v>104</v>
      </c>
      <c r="T73" s="8"/>
    </row>
    <row r="74" spans="1:20" ht="34.049999999999997" customHeight="1" x14ac:dyDescent="0.3">
      <c r="A74" s="38">
        <v>69</v>
      </c>
      <c r="B74" s="55" t="s">
        <v>308</v>
      </c>
      <c r="C74" s="39" t="s">
        <v>324</v>
      </c>
      <c r="D74" s="40" t="s">
        <v>325</v>
      </c>
      <c r="E74" s="53" t="s">
        <v>111</v>
      </c>
      <c r="F74" s="42" t="s">
        <v>57</v>
      </c>
      <c r="G74" s="54" t="s">
        <v>64</v>
      </c>
      <c r="H74" s="44" t="s">
        <v>57</v>
      </c>
      <c r="I74" s="45" t="s">
        <v>57</v>
      </c>
      <c r="J74" s="46" t="s">
        <v>57</v>
      </c>
      <c r="K74" s="54" t="s">
        <v>64</v>
      </c>
      <c r="L74" s="48" t="s">
        <v>122</v>
      </c>
      <c r="M74" s="48" t="s">
        <v>64</v>
      </c>
      <c r="N74" s="48" t="s">
        <v>138</v>
      </c>
      <c r="O74" s="48" t="s">
        <v>290</v>
      </c>
      <c r="P74" s="48" t="s">
        <v>312</v>
      </c>
      <c r="Q74" s="48" t="s">
        <v>64</v>
      </c>
      <c r="R74" s="49" t="s">
        <v>103</v>
      </c>
      <c r="S74" s="49" t="s">
        <v>104</v>
      </c>
      <c r="T74" s="39"/>
    </row>
    <row r="75" spans="1:20" ht="34.049999999999997" customHeight="1" x14ac:dyDescent="0.3">
      <c r="A75" s="50">
        <v>70</v>
      </c>
      <c r="B75" s="56" t="s">
        <v>308</v>
      </c>
      <c r="C75" s="8" t="s">
        <v>326</v>
      </c>
      <c r="D75" s="51" t="s">
        <v>327</v>
      </c>
      <c r="E75" s="53" t="s">
        <v>111</v>
      </c>
      <c r="F75" s="42" t="s">
        <v>57</v>
      </c>
      <c r="G75" s="43" t="s">
        <v>57</v>
      </c>
      <c r="H75" s="44" t="s">
        <v>57</v>
      </c>
      <c r="I75" s="45" t="s">
        <v>57</v>
      </c>
      <c r="J75" s="46" t="s">
        <v>57</v>
      </c>
      <c r="K75" s="47" t="s">
        <v>57</v>
      </c>
      <c r="L75" s="52" t="s">
        <v>122</v>
      </c>
      <c r="M75" s="52" t="s">
        <v>243</v>
      </c>
      <c r="N75" s="52" t="s">
        <v>311</v>
      </c>
      <c r="O75" s="52" t="s">
        <v>290</v>
      </c>
      <c r="P75" s="52" t="s">
        <v>312</v>
      </c>
      <c r="Q75" s="52" t="s">
        <v>127</v>
      </c>
      <c r="R75" s="49" t="s">
        <v>103</v>
      </c>
      <c r="S75" s="49" t="s">
        <v>104</v>
      </c>
      <c r="T75" s="8"/>
    </row>
    <row r="76" spans="1:20" ht="34.049999999999997" customHeight="1" x14ac:dyDescent="0.3">
      <c r="A76" s="38">
        <v>71</v>
      </c>
      <c r="B76" s="55" t="s">
        <v>308</v>
      </c>
      <c r="C76" s="39" t="s">
        <v>328</v>
      </c>
      <c r="D76" s="40" t="s">
        <v>329</v>
      </c>
      <c r="E76" s="53" t="s">
        <v>111</v>
      </c>
      <c r="F76" s="42" t="s">
        <v>57</v>
      </c>
      <c r="G76" s="43" t="s">
        <v>57</v>
      </c>
      <c r="H76" s="44" t="s">
        <v>57</v>
      </c>
      <c r="I76" s="45" t="s">
        <v>57</v>
      </c>
      <c r="J76" s="46" t="s">
        <v>57</v>
      </c>
      <c r="K76" s="47" t="s">
        <v>57</v>
      </c>
      <c r="L76" s="48" t="s">
        <v>122</v>
      </c>
      <c r="M76" s="48" t="s">
        <v>243</v>
      </c>
      <c r="N76" s="48" t="s">
        <v>330</v>
      </c>
      <c r="O76" s="48" t="s">
        <v>331</v>
      </c>
      <c r="P76" s="48" t="s">
        <v>312</v>
      </c>
      <c r="Q76" s="48" t="s">
        <v>119</v>
      </c>
      <c r="R76" s="49" t="s">
        <v>103</v>
      </c>
      <c r="S76" s="49" t="s">
        <v>104</v>
      </c>
      <c r="T76" s="39"/>
    </row>
    <row r="77" spans="1:20" ht="34.049999999999997" customHeight="1" x14ac:dyDescent="0.3">
      <c r="A77" s="50">
        <v>72</v>
      </c>
      <c r="B77" s="68" t="s">
        <v>332</v>
      </c>
      <c r="C77" s="8" t="s">
        <v>333</v>
      </c>
      <c r="D77" s="51" t="s">
        <v>334</v>
      </c>
      <c r="E77" s="58" t="s">
        <v>162</v>
      </c>
      <c r="F77" s="42" t="s">
        <v>57</v>
      </c>
      <c r="G77" s="54" t="s">
        <v>64</v>
      </c>
      <c r="H77" s="44" t="s">
        <v>57</v>
      </c>
      <c r="I77" s="45" t="s">
        <v>57</v>
      </c>
      <c r="J77" s="46" t="s">
        <v>57</v>
      </c>
      <c r="K77" s="47" t="s">
        <v>57</v>
      </c>
      <c r="L77" s="52" t="s">
        <v>97</v>
      </c>
      <c r="M77" s="52" t="s">
        <v>64</v>
      </c>
      <c r="N77" s="52" t="s">
        <v>192</v>
      </c>
      <c r="O77" s="52" t="s">
        <v>335</v>
      </c>
      <c r="P77" s="52" t="s">
        <v>165</v>
      </c>
      <c r="Q77" s="52" t="s">
        <v>127</v>
      </c>
      <c r="R77" s="49" t="s">
        <v>103</v>
      </c>
      <c r="S77" s="49" t="s">
        <v>104</v>
      </c>
      <c r="T77" s="8"/>
    </row>
    <row r="78" spans="1:20" ht="34.049999999999997" customHeight="1" x14ac:dyDescent="0.3">
      <c r="A78" s="38">
        <v>73</v>
      </c>
      <c r="B78" s="69" t="s">
        <v>332</v>
      </c>
      <c r="C78" s="39" t="s">
        <v>336</v>
      </c>
      <c r="D78" s="40" t="s">
        <v>337</v>
      </c>
      <c r="E78" s="53" t="s">
        <v>111</v>
      </c>
      <c r="F78" s="42" t="s">
        <v>57</v>
      </c>
      <c r="G78" s="54" t="s">
        <v>64</v>
      </c>
      <c r="H78" s="44" t="s">
        <v>57</v>
      </c>
      <c r="I78" s="45" t="s">
        <v>57</v>
      </c>
      <c r="J78" s="54" t="s">
        <v>64</v>
      </c>
      <c r="K78" s="47" t="s">
        <v>57</v>
      </c>
      <c r="L78" s="48" t="s">
        <v>97</v>
      </c>
      <c r="M78" s="48" t="s">
        <v>64</v>
      </c>
      <c r="N78" s="48" t="s">
        <v>138</v>
      </c>
      <c r="O78" s="48" t="s">
        <v>338</v>
      </c>
      <c r="P78" s="48" t="s">
        <v>64</v>
      </c>
      <c r="Q78" s="48" t="s">
        <v>127</v>
      </c>
      <c r="R78" s="49" t="s">
        <v>103</v>
      </c>
      <c r="S78" s="49" t="s">
        <v>104</v>
      </c>
      <c r="T78" s="39"/>
    </row>
    <row r="79" spans="1:20" ht="34.049999999999997" customHeight="1" x14ac:dyDescent="0.3">
      <c r="A79" s="50">
        <v>74</v>
      </c>
      <c r="B79" s="68" t="s">
        <v>332</v>
      </c>
      <c r="C79" s="8" t="s">
        <v>339</v>
      </c>
      <c r="D79" s="51" t="s">
        <v>340</v>
      </c>
      <c r="E79" s="41" t="s">
        <v>96</v>
      </c>
      <c r="F79" s="54" t="s">
        <v>64</v>
      </c>
      <c r="G79" s="43" t="s">
        <v>57</v>
      </c>
      <c r="H79" s="44" t="s">
        <v>57</v>
      </c>
      <c r="I79" s="45" t="s">
        <v>57</v>
      </c>
      <c r="J79" s="46" t="s">
        <v>57</v>
      </c>
      <c r="K79" s="54" t="s">
        <v>64</v>
      </c>
      <c r="L79" s="52" t="s">
        <v>64</v>
      </c>
      <c r="M79" s="52" t="s">
        <v>112</v>
      </c>
      <c r="N79" s="52" t="s">
        <v>138</v>
      </c>
      <c r="O79" s="52" t="s">
        <v>341</v>
      </c>
      <c r="P79" s="52" t="s">
        <v>135</v>
      </c>
      <c r="Q79" s="52" t="s">
        <v>64</v>
      </c>
      <c r="R79" s="49" t="s">
        <v>103</v>
      </c>
      <c r="S79" s="49" t="s">
        <v>104</v>
      </c>
      <c r="T79" s="8"/>
    </row>
    <row r="80" spans="1:20" ht="34.049999999999997" customHeight="1" x14ac:dyDescent="0.3">
      <c r="A80" s="38">
        <v>75</v>
      </c>
      <c r="B80" s="69" t="s">
        <v>332</v>
      </c>
      <c r="C80" s="39" t="s">
        <v>342</v>
      </c>
      <c r="D80" s="40" t="s">
        <v>343</v>
      </c>
      <c r="E80" s="53" t="s">
        <v>111</v>
      </c>
      <c r="F80" s="42" t="s">
        <v>57</v>
      </c>
      <c r="G80" s="43" t="s">
        <v>57</v>
      </c>
      <c r="H80" s="44" t="s">
        <v>57</v>
      </c>
      <c r="I80" s="45" t="s">
        <v>57</v>
      </c>
      <c r="J80" s="46" t="s">
        <v>57</v>
      </c>
      <c r="K80" s="54" t="s">
        <v>64</v>
      </c>
      <c r="L80" s="48" t="s">
        <v>97</v>
      </c>
      <c r="M80" s="48" t="s">
        <v>199</v>
      </c>
      <c r="N80" s="48" t="s">
        <v>205</v>
      </c>
      <c r="O80" s="48" t="s">
        <v>344</v>
      </c>
      <c r="P80" s="48" t="s">
        <v>135</v>
      </c>
      <c r="Q80" s="48" t="s">
        <v>64</v>
      </c>
      <c r="R80" s="49" t="s">
        <v>103</v>
      </c>
      <c r="S80" s="49" t="s">
        <v>104</v>
      </c>
      <c r="T80" s="39"/>
    </row>
    <row r="81" spans="1:20" ht="34.049999999999997" customHeight="1" x14ac:dyDescent="0.3">
      <c r="A81" s="50">
        <v>76</v>
      </c>
      <c r="B81" s="68" t="s">
        <v>332</v>
      </c>
      <c r="C81" s="8" t="s">
        <v>345</v>
      </c>
      <c r="D81" s="51" t="s">
        <v>346</v>
      </c>
      <c r="E81" s="58" t="s">
        <v>162</v>
      </c>
      <c r="F81" s="42" t="s">
        <v>57</v>
      </c>
      <c r="G81" s="54" t="s">
        <v>64</v>
      </c>
      <c r="H81" s="54" t="s">
        <v>64</v>
      </c>
      <c r="I81" s="45" t="s">
        <v>57</v>
      </c>
      <c r="J81" s="54" t="s">
        <v>64</v>
      </c>
      <c r="K81" s="54" t="s">
        <v>64</v>
      </c>
      <c r="L81" s="52" t="s">
        <v>97</v>
      </c>
      <c r="M81" s="52" t="s">
        <v>64</v>
      </c>
      <c r="N81" s="52" t="s">
        <v>64</v>
      </c>
      <c r="O81" s="52" t="s">
        <v>347</v>
      </c>
      <c r="P81" s="52" t="s">
        <v>64</v>
      </c>
      <c r="Q81" s="52" t="s">
        <v>64</v>
      </c>
      <c r="R81" s="49" t="s">
        <v>103</v>
      </c>
      <c r="S81" s="49" t="s">
        <v>104</v>
      </c>
      <c r="T81" s="8"/>
    </row>
    <row r="82" spans="1:20" ht="34.049999999999997" customHeight="1" x14ac:dyDescent="0.3">
      <c r="A82" s="38">
        <v>77</v>
      </c>
      <c r="B82" s="57" t="s">
        <v>348</v>
      </c>
      <c r="C82" s="39" t="s">
        <v>349</v>
      </c>
      <c r="D82" s="40" t="s">
        <v>350</v>
      </c>
      <c r="E82" s="53" t="s">
        <v>111</v>
      </c>
      <c r="F82" s="42" t="s">
        <v>57</v>
      </c>
      <c r="G82" s="54" t="s">
        <v>64</v>
      </c>
      <c r="H82" s="44" t="s">
        <v>57</v>
      </c>
      <c r="I82" s="45" t="s">
        <v>57</v>
      </c>
      <c r="J82" s="46" t="s">
        <v>57</v>
      </c>
      <c r="K82" s="47" t="s">
        <v>57</v>
      </c>
      <c r="L82" s="48" t="s">
        <v>97</v>
      </c>
      <c r="M82" s="48" t="s">
        <v>64</v>
      </c>
      <c r="N82" s="48" t="s">
        <v>351</v>
      </c>
      <c r="O82" s="48" t="s">
        <v>158</v>
      </c>
      <c r="P82" s="48" t="s">
        <v>115</v>
      </c>
      <c r="Q82" s="48" t="s">
        <v>127</v>
      </c>
      <c r="R82" s="49" t="s">
        <v>103</v>
      </c>
      <c r="S82" s="49" t="s">
        <v>104</v>
      </c>
      <c r="T82" s="39"/>
    </row>
    <row r="83" spans="1:20" ht="34.049999999999997" customHeight="1" x14ac:dyDescent="0.3">
      <c r="A83" s="50">
        <v>78</v>
      </c>
      <c r="B83" s="59" t="s">
        <v>348</v>
      </c>
      <c r="C83" s="8" t="s">
        <v>352</v>
      </c>
      <c r="D83" s="51" t="s">
        <v>353</v>
      </c>
      <c r="E83" s="53" t="s">
        <v>111</v>
      </c>
      <c r="F83" s="42" t="s">
        <v>57</v>
      </c>
      <c r="G83" s="54" t="s">
        <v>64</v>
      </c>
      <c r="H83" s="44" t="s">
        <v>57</v>
      </c>
      <c r="I83" s="45" t="s">
        <v>57</v>
      </c>
      <c r="J83" s="46" t="s">
        <v>57</v>
      </c>
      <c r="K83" s="47" t="s">
        <v>57</v>
      </c>
      <c r="L83" s="52" t="s">
        <v>97</v>
      </c>
      <c r="M83" s="52" t="s">
        <v>64</v>
      </c>
      <c r="N83" s="52" t="s">
        <v>138</v>
      </c>
      <c r="O83" s="52" t="s">
        <v>354</v>
      </c>
      <c r="P83" s="52" t="s">
        <v>115</v>
      </c>
      <c r="Q83" s="52" t="s">
        <v>127</v>
      </c>
      <c r="R83" s="49" t="s">
        <v>103</v>
      </c>
      <c r="S83" s="49" t="s">
        <v>104</v>
      </c>
      <c r="T83" s="8"/>
    </row>
    <row r="84" spans="1:20" ht="34.049999999999997" customHeight="1" x14ac:dyDescent="0.3">
      <c r="A84" s="38">
        <v>79</v>
      </c>
      <c r="B84" s="57" t="s">
        <v>348</v>
      </c>
      <c r="C84" s="39" t="s">
        <v>355</v>
      </c>
      <c r="D84" s="40" t="s">
        <v>356</v>
      </c>
      <c r="E84" s="58" t="s">
        <v>162</v>
      </c>
      <c r="F84" s="42" t="s">
        <v>57</v>
      </c>
      <c r="G84" s="54" t="s">
        <v>64</v>
      </c>
      <c r="H84" s="44" t="s">
        <v>57</v>
      </c>
      <c r="I84" s="45" t="s">
        <v>57</v>
      </c>
      <c r="J84" s="46" t="s">
        <v>57</v>
      </c>
      <c r="K84" s="47" t="s">
        <v>57</v>
      </c>
      <c r="L84" s="48" t="s">
        <v>97</v>
      </c>
      <c r="M84" s="48" t="s">
        <v>64</v>
      </c>
      <c r="N84" s="48" t="s">
        <v>138</v>
      </c>
      <c r="O84" s="48" t="s">
        <v>357</v>
      </c>
      <c r="P84" s="48" t="s">
        <v>115</v>
      </c>
      <c r="Q84" s="48" t="s">
        <v>127</v>
      </c>
      <c r="R84" s="49" t="s">
        <v>103</v>
      </c>
      <c r="S84" s="49" t="s">
        <v>104</v>
      </c>
      <c r="T84" s="39"/>
    </row>
    <row r="85" spans="1:20" ht="34.049999999999997" customHeight="1" x14ac:dyDescent="0.3">
      <c r="A85" s="50">
        <v>80</v>
      </c>
      <c r="B85" s="59" t="s">
        <v>348</v>
      </c>
      <c r="C85" s="8" t="s">
        <v>358</v>
      </c>
      <c r="D85" s="51" t="s">
        <v>359</v>
      </c>
      <c r="E85" s="53" t="s">
        <v>111</v>
      </c>
      <c r="F85" s="42" t="s">
        <v>57</v>
      </c>
      <c r="G85" s="54" t="s">
        <v>64</v>
      </c>
      <c r="H85" s="44" t="s">
        <v>57</v>
      </c>
      <c r="I85" s="45" t="s">
        <v>57</v>
      </c>
      <c r="J85" s="46" t="s">
        <v>57</v>
      </c>
      <c r="K85" s="47" t="s">
        <v>57</v>
      </c>
      <c r="L85" s="52" t="s">
        <v>97</v>
      </c>
      <c r="M85" s="52" t="s">
        <v>64</v>
      </c>
      <c r="N85" s="52" t="s">
        <v>138</v>
      </c>
      <c r="O85" s="52" t="s">
        <v>360</v>
      </c>
      <c r="P85" s="52" t="s">
        <v>115</v>
      </c>
      <c r="Q85" s="52" t="s">
        <v>127</v>
      </c>
      <c r="R85" s="49" t="s">
        <v>103</v>
      </c>
      <c r="S85" s="49" t="s">
        <v>104</v>
      </c>
      <c r="T85" s="8"/>
    </row>
    <row r="86" spans="1:20" ht="34.049999999999997" customHeight="1" x14ac:dyDescent="0.3">
      <c r="A86" s="38">
        <v>81</v>
      </c>
      <c r="B86" s="57" t="s">
        <v>348</v>
      </c>
      <c r="C86" s="39" t="s">
        <v>361</v>
      </c>
      <c r="D86" s="40" t="s">
        <v>362</v>
      </c>
      <c r="E86" s="58" t="s">
        <v>162</v>
      </c>
      <c r="F86" s="42" t="s">
        <v>57</v>
      </c>
      <c r="G86" s="54" t="s">
        <v>64</v>
      </c>
      <c r="H86" s="44" t="s">
        <v>57</v>
      </c>
      <c r="I86" s="45" t="s">
        <v>57</v>
      </c>
      <c r="J86" s="54" t="s">
        <v>64</v>
      </c>
      <c r="K86" s="54" t="s">
        <v>64</v>
      </c>
      <c r="L86" s="48" t="s">
        <v>97</v>
      </c>
      <c r="M86" s="48" t="s">
        <v>64</v>
      </c>
      <c r="N86" s="48" t="s">
        <v>143</v>
      </c>
      <c r="O86" s="48" t="s">
        <v>158</v>
      </c>
      <c r="P86" s="48" t="s">
        <v>64</v>
      </c>
      <c r="Q86" s="48" t="s">
        <v>64</v>
      </c>
      <c r="R86" s="49" t="s">
        <v>103</v>
      </c>
      <c r="S86" s="49" t="s">
        <v>104</v>
      </c>
      <c r="T86" s="39"/>
    </row>
    <row r="87" spans="1:20" ht="34.049999999999997" customHeight="1" x14ac:dyDescent="0.3">
      <c r="A87" s="50">
        <v>82</v>
      </c>
      <c r="B87" s="70" t="s">
        <v>363</v>
      </c>
      <c r="C87" s="8" t="s">
        <v>364</v>
      </c>
      <c r="D87" s="51" t="s">
        <v>365</v>
      </c>
      <c r="E87" s="53" t="s">
        <v>111</v>
      </c>
      <c r="F87" s="42" t="s">
        <v>57</v>
      </c>
      <c r="G87" s="43" t="s">
        <v>57</v>
      </c>
      <c r="H87" s="44" t="s">
        <v>57</v>
      </c>
      <c r="I87" s="45" t="s">
        <v>57</v>
      </c>
      <c r="J87" s="46" t="s">
        <v>57</v>
      </c>
      <c r="K87" s="47" t="s">
        <v>57</v>
      </c>
      <c r="L87" s="52" t="s">
        <v>122</v>
      </c>
      <c r="M87" s="52" t="s">
        <v>123</v>
      </c>
      <c r="N87" s="52" t="s">
        <v>124</v>
      </c>
      <c r="O87" s="52" t="s">
        <v>366</v>
      </c>
      <c r="P87" s="52" t="s">
        <v>126</v>
      </c>
      <c r="Q87" s="52" t="s">
        <v>127</v>
      </c>
      <c r="R87" s="49" t="s">
        <v>103</v>
      </c>
      <c r="S87" s="49" t="s">
        <v>104</v>
      </c>
      <c r="T87" s="8"/>
    </row>
    <row r="88" spans="1:20" ht="34.049999999999997" customHeight="1" x14ac:dyDescent="0.3">
      <c r="A88" s="38">
        <v>83</v>
      </c>
      <c r="B88" s="71" t="s">
        <v>363</v>
      </c>
      <c r="C88" s="39" t="s">
        <v>367</v>
      </c>
      <c r="D88" s="40" t="s">
        <v>368</v>
      </c>
      <c r="E88" s="53" t="s">
        <v>111</v>
      </c>
      <c r="F88" s="54" t="s">
        <v>64</v>
      </c>
      <c r="G88" s="43" t="s">
        <v>57</v>
      </c>
      <c r="H88" s="44" t="s">
        <v>57</v>
      </c>
      <c r="I88" s="45" t="s">
        <v>57</v>
      </c>
      <c r="J88" s="46" t="s">
        <v>57</v>
      </c>
      <c r="K88" s="54" t="s">
        <v>64</v>
      </c>
      <c r="L88" s="48" t="s">
        <v>64</v>
      </c>
      <c r="M88" s="48" t="s">
        <v>123</v>
      </c>
      <c r="N88" s="48" t="s">
        <v>124</v>
      </c>
      <c r="O88" s="48" t="s">
        <v>369</v>
      </c>
      <c r="P88" s="48" t="s">
        <v>126</v>
      </c>
      <c r="Q88" s="48" t="s">
        <v>64</v>
      </c>
      <c r="R88" s="49" t="s">
        <v>103</v>
      </c>
      <c r="S88" s="49" t="s">
        <v>104</v>
      </c>
      <c r="T88" s="39"/>
    </row>
    <row r="89" spans="1:20" ht="34.049999999999997" customHeight="1" x14ac:dyDescent="0.3">
      <c r="A89" s="50">
        <v>84</v>
      </c>
      <c r="B89" s="70" t="s">
        <v>363</v>
      </c>
      <c r="C89" s="8" t="s">
        <v>370</v>
      </c>
      <c r="D89" s="51" t="s">
        <v>371</v>
      </c>
      <c r="E89" s="53" t="s">
        <v>111</v>
      </c>
      <c r="F89" s="42" t="s">
        <v>57</v>
      </c>
      <c r="G89" s="43" t="s">
        <v>57</v>
      </c>
      <c r="H89" s="44" t="s">
        <v>57</v>
      </c>
      <c r="I89" s="45" t="s">
        <v>57</v>
      </c>
      <c r="J89" s="46" t="s">
        <v>57</v>
      </c>
      <c r="K89" s="47" t="s">
        <v>57</v>
      </c>
      <c r="L89" s="52" t="s">
        <v>122</v>
      </c>
      <c r="M89" s="52" t="s">
        <v>123</v>
      </c>
      <c r="N89" s="52" t="s">
        <v>124</v>
      </c>
      <c r="O89" s="52" t="s">
        <v>366</v>
      </c>
      <c r="P89" s="52" t="s">
        <v>126</v>
      </c>
      <c r="Q89" s="52" t="s">
        <v>127</v>
      </c>
      <c r="R89" s="49" t="s">
        <v>103</v>
      </c>
      <c r="S89" s="49" t="s">
        <v>104</v>
      </c>
      <c r="T89" s="8"/>
    </row>
    <row r="90" spans="1:20" ht="34.049999999999997" customHeight="1" x14ac:dyDescent="0.3">
      <c r="A90" s="38">
        <v>85</v>
      </c>
      <c r="B90" s="71" t="s">
        <v>363</v>
      </c>
      <c r="C90" s="39" t="s">
        <v>372</v>
      </c>
      <c r="D90" s="40" t="s">
        <v>373</v>
      </c>
      <c r="E90" s="53" t="s">
        <v>111</v>
      </c>
      <c r="F90" s="42" t="s">
        <v>57</v>
      </c>
      <c r="G90" s="43" t="s">
        <v>57</v>
      </c>
      <c r="H90" s="44" t="s">
        <v>57</v>
      </c>
      <c r="I90" s="45" t="s">
        <v>57</v>
      </c>
      <c r="J90" s="46" t="s">
        <v>57</v>
      </c>
      <c r="K90" s="47" t="s">
        <v>57</v>
      </c>
      <c r="L90" s="48" t="s">
        <v>122</v>
      </c>
      <c r="M90" s="48" t="s">
        <v>123</v>
      </c>
      <c r="N90" s="48" t="s">
        <v>124</v>
      </c>
      <c r="O90" s="48" t="s">
        <v>374</v>
      </c>
      <c r="P90" s="48" t="s">
        <v>126</v>
      </c>
      <c r="Q90" s="48" t="s">
        <v>127</v>
      </c>
      <c r="R90" s="49" t="s">
        <v>103</v>
      </c>
      <c r="S90" s="49" t="s">
        <v>104</v>
      </c>
      <c r="T90" s="39"/>
    </row>
    <row r="91" spans="1:20" ht="34.049999999999997" customHeight="1" x14ac:dyDescent="0.3">
      <c r="A91" s="50">
        <v>86</v>
      </c>
      <c r="B91" s="70" t="s">
        <v>363</v>
      </c>
      <c r="C91" s="8" t="s">
        <v>375</v>
      </c>
      <c r="D91" s="51" t="s">
        <v>376</v>
      </c>
      <c r="E91" s="53" t="s">
        <v>111</v>
      </c>
      <c r="F91" s="42" t="s">
        <v>57</v>
      </c>
      <c r="G91" s="54" t="s">
        <v>64</v>
      </c>
      <c r="H91" s="44" t="s">
        <v>57</v>
      </c>
      <c r="I91" s="54" t="s">
        <v>64</v>
      </c>
      <c r="J91" s="54" t="s">
        <v>64</v>
      </c>
      <c r="K91" s="54" t="s">
        <v>64</v>
      </c>
      <c r="L91" s="52" t="s">
        <v>220</v>
      </c>
      <c r="M91" s="52" t="s">
        <v>64</v>
      </c>
      <c r="N91" s="52" t="s">
        <v>138</v>
      </c>
      <c r="O91" s="52" t="s">
        <v>64</v>
      </c>
      <c r="P91" s="52" t="s">
        <v>64</v>
      </c>
      <c r="Q91" s="52" t="s">
        <v>64</v>
      </c>
      <c r="R91" s="49" t="s">
        <v>103</v>
      </c>
      <c r="S91" s="49" t="s">
        <v>104</v>
      </c>
      <c r="T91" s="8"/>
    </row>
    <row r="92" spans="1:20" ht="34.049999999999997" customHeight="1" x14ac:dyDescent="0.3">
      <c r="A92" s="38">
        <v>87</v>
      </c>
      <c r="B92" s="71" t="s">
        <v>363</v>
      </c>
      <c r="C92" s="39" t="s">
        <v>377</v>
      </c>
      <c r="D92" s="40" t="s">
        <v>378</v>
      </c>
      <c r="E92" s="53" t="s">
        <v>111</v>
      </c>
      <c r="F92" s="54" t="s">
        <v>64</v>
      </c>
      <c r="G92" s="43" t="s">
        <v>57</v>
      </c>
      <c r="H92" s="44" t="s">
        <v>57</v>
      </c>
      <c r="I92" s="45" t="s">
        <v>57</v>
      </c>
      <c r="J92" s="46" t="s">
        <v>57</v>
      </c>
      <c r="K92" s="54" t="s">
        <v>64</v>
      </c>
      <c r="L92" s="48" t="s">
        <v>64</v>
      </c>
      <c r="M92" s="48" t="s">
        <v>199</v>
      </c>
      <c r="N92" s="48" t="s">
        <v>379</v>
      </c>
      <c r="O92" s="48" t="s">
        <v>366</v>
      </c>
      <c r="P92" s="48" t="s">
        <v>126</v>
      </c>
      <c r="Q92" s="48" t="s">
        <v>64</v>
      </c>
      <c r="R92" s="49" t="s">
        <v>103</v>
      </c>
      <c r="S92" s="49" t="s">
        <v>104</v>
      </c>
      <c r="T92" s="39"/>
    </row>
    <row r="93" spans="1:20" ht="34.049999999999997" customHeight="1" x14ac:dyDescent="0.3">
      <c r="A93" s="50">
        <v>88</v>
      </c>
      <c r="B93" s="72" t="s">
        <v>380</v>
      </c>
      <c r="C93" s="8" t="s">
        <v>381</v>
      </c>
      <c r="D93" s="51" t="s">
        <v>382</v>
      </c>
      <c r="E93" s="53" t="s">
        <v>111</v>
      </c>
      <c r="F93" s="42" t="s">
        <v>57</v>
      </c>
      <c r="G93" s="54" t="s">
        <v>64</v>
      </c>
      <c r="H93" s="44" t="s">
        <v>57</v>
      </c>
      <c r="I93" s="45" t="s">
        <v>57</v>
      </c>
      <c r="J93" s="46" t="s">
        <v>57</v>
      </c>
      <c r="K93" s="47" t="s">
        <v>57</v>
      </c>
      <c r="L93" s="52" t="s">
        <v>97</v>
      </c>
      <c r="M93" s="52" t="s">
        <v>64</v>
      </c>
      <c r="N93" s="52" t="s">
        <v>138</v>
      </c>
      <c r="O93" s="52" t="s">
        <v>256</v>
      </c>
      <c r="P93" s="52" t="s">
        <v>115</v>
      </c>
      <c r="Q93" s="52" t="s">
        <v>127</v>
      </c>
      <c r="R93" s="49" t="s">
        <v>103</v>
      </c>
      <c r="S93" s="49" t="s">
        <v>104</v>
      </c>
      <c r="T93" s="8"/>
    </row>
    <row r="94" spans="1:20" ht="34.049999999999997" customHeight="1" x14ac:dyDescent="0.3">
      <c r="A94" s="38">
        <v>89</v>
      </c>
      <c r="B94" s="73" t="s">
        <v>380</v>
      </c>
      <c r="C94" s="39" t="s">
        <v>383</v>
      </c>
      <c r="D94" s="40" t="s">
        <v>384</v>
      </c>
      <c r="E94" s="53" t="s">
        <v>111</v>
      </c>
      <c r="F94" s="54" t="s">
        <v>64</v>
      </c>
      <c r="G94" s="54" t="s">
        <v>64</v>
      </c>
      <c r="H94" s="54" t="s">
        <v>64</v>
      </c>
      <c r="I94" s="54" t="s">
        <v>64</v>
      </c>
      <c r="J94" s="46" t="s">
        <v>57</v>
      </c>
      <c r="K94" s="47" t="s">
        <v>57</v>
      </c>
      <c r="L94" s="48" t="s">
        <v>64</v>
      </c>
      <c r="M94" s="48" t="s">
        <v>64</v>
      </c>
      <c r="N94" s="48" t="s">
        <v>64</v>
      </c>
      <c r="O94" s="48" t="s">
        <v>64</v>
      </c>
      <c r="P94" s="48" t="s">
        <v>165</v>
      </c>
      <c r="Q94" s="48" t="s">
        <v>127</v>
      </c>
      <c r="R94" s="49" t="s">
        <v>103</v>
      </c>
      <c r="S94" s="49" t="s">
        <v>104</v>
      </c>
      <c r="T94" s="39"/>
    </row>
    <row r="95" spans="1:20" ht="34.049999999999997" customHeight="1" x14ac:dyDescent="0.3">
      <c r="A95" s="50">
        <v>90</v>
      </c>
      <c r="B95" s="72" t="s">
        <v>380</v>
      </c>
      <c r="C95" s="8" t="s">
        <v>385</v>
      </c>
      <c r="D95" s="51" t="s">
        <v>386</v>
      </c>
      <c r="E95" s="53" t="s">
        <v>111</v>
      </c>
      <c r="F95" s="42" t="s">
        <v>57</v>
      </c>
      <c r="G95" s="54" t="s">
        <v>64</v>
      </c>
      <c r="H95" s="44" t="s">
        <v>57</v>
      </c>
      <c r="I95" s="45" t="s">
        <v>57</v>
      </c>
      <c r="J95" s="54" t="s">
        <v>64</v>
      </c>
      <c r="K95" s="47" t="s">
        <v>57</v>
      </c>
      <c r="L95" s="52" t="s">
        <v>97</v>
      </c>
      <c r="M95" s="52" t="s">
        <v>64</v>
      </c>
      <c r="N95" s="52" t="s">
        <v>138</v>
      </c>
      <c r="O95" s="52" t="s">
        <v>256</v>
      </c>
      <c r="P95" s="52" t="s">
        <v>64</v>
      </c>
      <c r="Q95" s="52" t="s">
        <v>127</v>
      </c>
      <c r="R95" s="49" t="s">
        <v>103</v>
      </c>
      <c r="S95" s="49" t="s">
        <v>104</v>
      </c>
      <c r="T95" s="8"/>
    </row>
    <row r="96" spans="1:20" ht="34.049999999999997" customHeight="1" x14ac:dyDescent="0.3">
      <c r="A96" s="38">
        <v>91</v>
      </c>
      <c r="B96" s="73" t="s">
        <v>380</v>
      </c>
      <c r="C96" s="39" t="s">
        <v>387</v>
      </c>
      <c r="D96" s="40" t="s">
        <v>388</v>
      </c>
      <c r="E96" s="53" t="s">
        <v>111</v>
      </c>
      <c r="F96" s="42" t="s">
        <v>57</v>
      </c>
      <c r="G96" s="54" t="s">
        <v>64</v>
      </c>
      <c r="H96" s="44" t="s">
        <v>57</v>
      </c>
      <c r="I96" s="45" t="s">
        <v>57</v>
      </c>
      <c r="J96" s="54" t="s">
        <v>64</v>
      </c>
      <c r="K96" s="54" t="s">
        <v>64</v>
      </c>
      <c r="L96" s="48" t="s">
        <v>97</v>
      </c>
      <c r="M96" s="48" t="s">
        <v>64</v>
      </c>
      <c r="N96" s="48" t="s">
        <v>155</v>
      </c>
      <c r="O96" s="48" t="s">
        <v>256</v>
      </c>
      <c r="P96" s="48" t="s">
        <v>64</v>
      </c>
      <c r="Q96" s="48" t="s">
        <v>64</v>
      </c>
      <c r="R96" s="49" t="s">
        <v>103</v>
      </c>
      <c r="S96" s="49" t="s">
        <v>104</v>
      </c>
      <c r="T96" s="39"/>
    </row>
    <row r="97" spans="1:20" ht="34.049999999999997" customHeight="1" x14ac:dyDescent="0.3">
      <c r="A97" s="50">
        <v>92</v>
      </c>
      <c r="B97" s="72" t="s">
        <v>380</v>
      </c>
      <c r="C97" s="8" t="s">
        <v>389</v>
      </c>
      <c r="D97" s="51" t="s">
        <v>390</v>
      </c>
      <c r="E97" s="58" t="s">
        <v>162</v>
      </c>
      <c r="F97" s="42" t="s">
        <v>57</v>
      </c>
      <c r="G97" s="54" t="s">
        <v>64</v>
      </c>
      <c r="H97" s="44" t="s">
        <v>57</v>
      </c>
      <c r="I97" s="45" t="s">
        <v>57</v>
      </c>
      <c r="J97" s="46" t="s">
        <v>57</v>
      </c>
      <c r="K97" s="47" t="s">
        <v>57</v>
      </c>
      <c r="L97" s="52" t="s">
        <v>97</v>
      </c>
      <c r="M97" s="52" t="s">
        <v>64</v>
      </c>
      <c r="N97" s="52" t="s">
        <v>138</v>
      </c>
      <c r="O97" s="52" t="s">
        <v>164</v>
      </c>
      <c r="P97" s="52" t="s">
        <v>165</v>
      </c>
      <c r="Q97" s="52" t="s">
        <v>127</v>
      </c>
      <c r="R97" s="49" t="s">
        <v>103</v>
      </c>
      <c r="S97" s="49" t="s">
        <v>104</v>
      </c>
      <c r="T97" s="8"/>
    </row>
    <row r="98" spans="1:20" ht="34.049999999999997" customHeight="1" x14ac:dyDescent="0.3">
      <c r="A98" s="38">
        <v>93</v>
      </c>
      <c r="B98" s="74" t="s">
        <v>391</v>
      </c>
      <c r="C98" s="39" t="s">
        <v>392</v>
      </c>
      <c r="D98" s="40" t="s">
        <v>393</v>
      </c>
      <c r="E98" s="53" t="s">
        <v>111</v>
      </c>
      <c r="F98" s="54" t="s">
        <v>64</v>
      </c>
      <c r="G98" s="54" t="s">
        <v>64</v>
      </c>
      <c r="H98" s="54" t="s">
        <v>64</v>
      </c>
      <c r="I98" s="54" t="s">
        <v>64</v>
      </c>
      <c r="J98" s="46" t="s">
        <v>57</v>
      </c>
      <c r="K98" s="47" t="s">
        <v>57</v>
      </c>
      <c r="L98" s="48" t="s">
        <v>64</v>
      </c>
      <c r="M98" s="48" t="s">
        <v>64</v>
      </c>
      <c r="N98" s="48" t="s">
        <v>64</v>
      </c>
      <c r="O98" s="48" t="s">
        <v>64</v>
      </c>
      <c r="P98" s="48" t="s">
        <v>394</v>
      </c>
      <c r="Q98" s="48" t="s">
        <v>130</v>
      </c>
      <c r="R98" s="49" t="s">
        <v>103</v>
      </c>
      <c r="S98" s="49" t="s">
        <v>104</v>
      </c>
      <c r="T98" s="39"/>
    </row>
    <row r="99" spans="1:20" ht="34.049999999999997" customHeight="1" x14ac:dyDescent="0.3">
      <c r="A99" s="50">
        <v>94</v>
      </c>
      <c r="B99" s="75" t="s">
        <v>391</v>
      </c>
      <c r="C99" s="8" t="s">
        <v>395</v>
      </c>
      <c r="D99" s="51" t="s">
        <v>396</v>
      </c>
      <c r="E99" s="58" t="s">
        <v>162</v>
      </c>
      <c r="F99" s="54" t="s">
        <v>64</v>
      </c>
      <c r="G99" s="54" t="s">
        <v>64</v>
      </c>
      <c r="H99" s="54" t="s">
        <v>64</v>
      </c>
      <c r="I99" s="54" t="s">
        <v>64</v>
      </c>
      <c r="J99" s="54" t="s">
        <v>64</v>
      </c>
      <c r="K99" s="47" t="s">
        <v>57</v>
      </c>
      <c r="L99" s="52" t="s">
        <v>64</v>
      </c>
      <c r="M99" s="52" t="s">
        <v>64</v>
      </c>
      <c r="N99" s="52" t="s">
        <v>64</v>
      </c>
      <c r="O99" s="52" t="s">
        <v>64</v>
      </c>
      <c r="P99" s="52" t="s">
        <v>64</v>
      </c>
      <c r="Q99" s="52" t="s">
        <v>397</v>
      </c>
      <c r="R99" s="49" t="s">
        <v>103</v>
      </c>
      <c r="S99" s="49" t="s">
        <v>104</v>
      </c>
      <c r="T99" s="8"/>
    </row>
    <row r="100" spans="1:20" ht="34.049999999999997" customHeight="1" x14ac:dyDescent="0.3">
      <c r="A100" s="38">
        <v>95</v>
      </c>
      <c r="B100" s="74" t="s">
        <v>391</v>
      </c>
      <c r="C100" s="39" t="s">
        <v>398</v>
      </c>
      <c r="D100" s="40" t="s">
        <v>399</v>
      </c>
      <c r="E100" s="58" t="s">
        <v>162</v>
      </c>
      <c r="F100" s="54" t="s">
        <v>64</v>
      </c>
      <c r="G100" s="54" t="s">
        <v>64</v>
      </c>
      <c r="H100" s="54" t="s">
        <v>64</v>
      </c>
      <c r="I100" s="54" t="s">
        <v>64</v>
      </c>
      <c r="J100" s="46" t="s">
        <v>57</v>
      </c>
      <c r="K100" s="47" t="s">
        <v>57</v>
      </c>
      <c r="L100" s="48" t="s">
        <v>64</v>
      </c>
      <c r="M100" s="48" t="s">
        <v>64</v>
      </c>
      <c r="N100" s="48" t="s">
        <v>64</v>
      </c>
      <c r="O100" s="48" t="s">
        <v>64</v>
      </c>
      <c r="P100" s="48" t="s">
        <v>165</v>
      </c>
      <c r="Q100" s="48" t="s">
        <v>127</v>
      </c>
      <c r="R100" s="49" t="s">
        <v>103</v>
      </c>
      <c r="S100" s="49" t="s">
        <v>104</v>
      </c>
      <c r="T100" s="39"/>
    </row>
    <row r="101" spans="1:20" ht="34.049999999999997" customHeight="1" x14ac:dyDescent="0.3">
      <c r="A101" s="50">
        <v>96</v>
      </c>
      <c r="B101" s="75" t="s">
        <v>391</v>
      </c>
      <c r="C101" s="8" t="s">
        <v>400</v>
      </c>
      <c r="D101" s="51" t="s">
        <v>401</v>
      </c>
      <c r="E101" s="53" t="s">
        <v>111</v>
      </c>
      <c r="F101" s="54" t="s">
        <v>64</v>
      </c>
      <c r="G101" s="54" t="s">
        <v>64</v>
      </c>
      <c r="H101" s="54" t="s">
        <v>64</v>
      </c>
      <c r="I101" s="54" t="s">
        <v>64</v>
      </c>
      <c r="J101" s="54" t="s">
        <v>64</v>
      </c>
      <c r="K101" s="47" t="s">
        <v>57</v>
      </c>
      <c r="L101" s="52" t="s">
        <v>64</v>
      </c>
      <c r="M101" s="52" t="s">
        <v>64</v>
      </c>
      <c r="N101" s="52" t="s">
        <v>64</v>
      </c>
      <c r="O101" s="52" t="s">
        <v>64</v>
      </c>
      <c r="P101" s="52" t="s">
        <v>64</v>
      </c>
      <c r="Q101" s="52" t="s">
        <v>119</v>
      </c>
      <c r="R101" s="49" t="s">
        <v>103</v>
      </c>
      <c r="S101" s="49" t="s">
        <v>104</v>
      </c>
      <c r="T101" s="8"/>
    </row>
    <row r="102" spans="1:20" ht="34.049999999999997" customHeight="1" x14ac:dyDescent="0.3">
      <c r="A102" s="38">
        <v>97</v>
      </c>
      <c r="B102" s="74" t="s">
        <v>391</v>
      </c>
      <c r="C102" s="39" t="s">
        <v>402</v>
      </c>
      <c r="D102" s="40" t="s">
        <v>403</v>
      </c>
      <c r="E102" s="53" t="s">
        <v>111</v>
      </c>
      <c r="F102" s="54" t="s">
        <v>64</v>
      </c>
      <c r="G102" s="54" t="s">
        <v>64</v>
      </c>
      <c r="H102" s="54" t="s">
        <v>64</v>
      </c>
      <c r="I102" s="54" t="s">
        <v>64</v>
      </c>
      <c r="J102" s="46" t="s">
        <v>57</v>
      </c>
      <c r="K102" s="47" t="s">
        <v>57</v>
      </c>
      <c r="L102" s="48" t="s">
        <v>64</v>
      </c>
      <c r="M102" s="48" t="s">
        <v>64</v>
      </c>
      <c r="N102" s="48" t="s">
        <v>64</v>
      </c>
      <c r="O102" s="48" t="s">
        <v>64</v>
      </c>
      <c r="P102" s="48" t="s">
        <v>135</v>
      </c>
      <c r="Q102" s="48" t="s">
        <v>299</v>
      </c>
      <c r="R102" s="49" t="s">
        <v>103</v>
      </c>
      <c r="S102" s="49" t="s">
        <v>104</v>
      </c>
      <c r="T102" s="39"/>
    </row>
    <row r="103" spans="1:20" ht="34.049999999999997" customHeight="1" x14ac:dyDescent="0.3">
      <c r="A103" s="50">
        <v>98</v>
      </c>
      <c r="B103" s="75" t="s">
        <v>391</v>
      </c>
      <c r="C103" s="8" t="s">
        <v>404</v>
      </c>
      <c r="D103" s="51" t="s">
        <v>405</v>
      </c>
      <c r="E103" s="53" t="s">
        <v>111</v>
      </c>
      <c r="F103" s="54" t="s">
        <v>64</v>
      </c>
      <c r="G103" s="54" t="s">
        <v>64</v>
      </c>
      <c r="H103" s="54" t="s">
        <v>64</v>
      </c>
      <c r="I103" s="54" t="s">
        <v>64</v>
      </c>
      <c r="J103" s="54" t="s">
        <v>64</v>
      </c>
      <c r="K103" s="47" t="s">
        <v>57</v>
      </c>
      <c r="L103" s="52" t="s">
        <v>64</v>
      </c>
      <c r="M103" s="52" t="s">
        <v>64</v>
      </c>
      <c r="N103" s="52" t="s">
        <v>64</v>
      </c>
      <c r="O103" s="52" t="s">
        <v>64</v>
      </c>
      <c r="P103" s="52" t="s">
        <v>64</v>
      </c>
      <c r="Q103" s="52" t="s">
        <v>406</v>
      </c>
      <c r="R103" s="49" t="s">
        <v>103</v>
      </c>
      <c r="S103" s="49" t="s">
        <v>104</v>
      </c>
      <c r="T103" s="8"/>
    </row>
    <row r="104" spans="1:20" ht="34.049999999999997" customHeight="1" x14ac:dyDescent="0.3">
      <c r="A104" s="38">
        <v>99</v>
      </c>
      <c r="B104" s="76" t="s">
        <v>407</v>
      </c>
      <c r="C104" s="39" t="s">
        <v>408</v>
      </c>
      <c r="D104" s="40" t="s">
        <v>409</v>
      </c>
      <c r="E104" s="53" t="s">
        <v>111</v>
      </c>
      <c r="F104" s="54" t="s">
        <v>64</v>
      </c>
      <c r="G104" s="54" t="s">
        <v>64</v>
      </c>
      <c r="H104" s="54" t="s">
        <v>64</v>
      </c>
      <c r="I104" s="45" t="s">
        <v>57</v>
      </c>
      <c r="J104" s="54" t="s">
        <v>64</v>
      </c>
      <c r="K104" s="54" t="s">
        <v>64</v>
      </c>
      <c r="L104" s="48" t="s">
        <v>64</v>
      </c>
      <c r="M104" s="48" t="s">
        <v>64</v>
      </c>
      <c r="N104" s="48" t="s">
        <v>64</v>
      </c>
      <c r="O104" s="48" t="s">
        <v>410</v>
      </c>
      <c r="P104" s="48" t="s">
        <v>64</v>
      </c>
      <c r="Q104" s="48" t="s">
        <v>64</v>
      </c>
      <c r="R104" s="49" t="s">
        <v>103</v>
      </c>
      <c r="S104" s="49" t="s">
        <v>104</v>
      </c>
      <c r="T104" s="39"/>
    </row>
    <row r="105" spans="1:20" ht="34.049999999999997" customHeight="1" x14ac:dyDescent="0.3">
      <c r="A105" s="50">
        <v>100</v>
      </c>
      <c r="B105" s="77" t="s">
        <v>407</v>
      </c>
      <c r="C105" s="8" t="s">
        <v>411</v>
      </c>
      <c r="D105" s="51" t="s">
        <v>412</v>
      </c>
      <c r="E105" s="58" t="s">
        <v>162</v>
      </c>
      <c r="F105" s="54" t="s">
        <v>64</v>
      </c>
      <c r="G105" s="54" t="s">
        <v>64</v>
      </c>
      <c r="H105" s="54" t="s">
        <v>64</v>
      </c>
      <c r="I105" s="45" t="s">
        <v>57</v>
      </c>
      <c r="J105" s="54" t="s">
        <v>64</v>
      </c>
      <c r="K105" s="54" t="s">
        <v>64</v>
      </c>
      <c r="L105" s="52" t="s">
        <v>64</v>
      </c>
      <c r="M105" s="52" t="s">
        <v>64</v>
      </c>
      <c r="N105" s="52" t="s">
        <v>64</v>
      </c>
      <c r="O105" s="52" t="s">
        <v>341</v>
      </c>
      <c r="P105" s="52" t="s">
        <v>64</v>
      </c>
      <c r="Q105" s="52" t="s">
        <v>64</v>
      </c>
      <c r="R105" s="49" t="s">
        <v>103</v>
      </c>
      <c r="S105" s="49" t="s">
        <v>104</v>
      </c>
      <c r="T105" s="8"/>
    </row>
    <row r="106" spans="1:20" ht="34.049999999999997" customHeight="1" x14ac:dyDescent="0.3">
      <c r="A106" s="38">
        <v>101</v>
      </c>
      <c r="B106" s="76" t="s">
        <v>407</v>
      </c>
      <c r="C106" s="39" t="s">
        <v>413</v>
      </c>
      <c r="D106" s="40" t="s">
        <v>414</v>
      </c>
      <c r="E106" s="58" t="s">
        <v>162</v>
      </c>
      <c r="F106" s="54" t="s">
        <v>64</v>
      </c>
      <c r="G106" s="54" t="s">
        <v>64</v>
      </c>
      <c r="H106" s="54" t="s">
        <v>64</v>
      </c>
      <c r="I106" s="45" t="s">
        <v>57</v>
      </c>
      <c r="J106" s="54" t="s">
        <v>64</v>
      </c>
      <c r="K106" s="54" t="s">
        <v>64</v>
      </c>
      <c r="L106" s="48" t="s">
        <v>64</v>
      </c>
      <c r="M106" s="48" t="s">
        <v>64</v>
      </c>
      <c r="N106" s="48" t="s">
        <v>64</v>
      </c>
      <c r="O106" s="48" t="s">
        <v>212</v>
      </c>
      <c r="P106" s="48" t="s">
        <v>64</v>
      </c>
      <c r="Q106" s="48" t="s">
        <v>64</v>
      </c>
      <c r="R106" s="49" t="s">
        <v>103</v>
      </c>
      <c r="S106" s="49" t="s">
        <v>104</v>
      </c>
      <c r="T106" s="39"/>
    </row>
    <row r="107" spans="1:20" ht="34.049999999999997" customHeight="1" x14ac:dyDescent="0.3">
      <c r="A107" s="50">
        <v>102</v>
      </c>
      <c r="B107" s="77" t="s">
        <v>407</v>
      </c>
      <c r="C107" s="8" t="s">
        <v>415</v>
      </c>
      <c r="D107" s="51" t="s">
        <v>416</v>
      </c>
      <c r="E107" s="53" t="s">
        <v>111</v>
      </c>
      <c r="F107" s="54" t="s">
        <v>64</v>
      </c>
      <c r="G107" s="54" t="s">
        <v>64</v>
      </c>
      <c r="H107" s="54" t="s">
        <v>64</v>
      </c>
      <c r="I107" s="45" t="s">
        <v>57</v>
      </c>
      <c r="J107" s="54" t="s">
        <v>64</v>
      </c>
      <c r="K107" s="54" t="s">
        <v>64</v>
      </c>
      <c r="L107" s="52" t="s">
        <v>64</v>
      </c>
      <c r="M107" s="52" t="s">
        <v>64</v>
      </c>
      <c r="N107" s="52" t="s">
        <v>64</v>
      </c>
      <c r="O107" s="52" t="s">
        <v>417</v>
      </c>
      <c r="P107" s="52" t="s">
        <v>64</v>
      </c>
      <c r="Q107" s="52" t="s">
        <v>64</v>
      </c>
      <c r="R107" s="49" t="s">
        <v>103</v>
      </c>
      <c r="S107" s="49" t="s">
        <v>104</v>
      </c>
      <c r="T107" s="8"/>
    </row>
    <row r="108" spans="1:20" ht="34.049999999999997" customHeight="1" x14ac:dyDescent="0.3">
      <c r="A108" s="38">
        <v>103</v>
      </c>
      <c r="B108" s="76" t="s">
        <v>407</v>
      </c>
      <c r="C108" s="39" t="s">
        <v>418</v>
      </c>
      <c r="D108" s="40" t="s">
        <v>419</v>
      </c>
      <c r="E108" s="53" t="s">
        <v>111</v>
      </c>
      <c r="F108" s="54" t="s">
        <v>64</v>
      </c>
      <c r="G108" s="54" t="s">
        <v>64</v>
      </c>
      <c r="H108" s="54" t="s">
        <v>64</v>
      </c>
      <c r="I108" s="45" t="s">
        <v>57</v>
      </c>
      <c r="J108" s="54" t="s">
        <v>64</v>
      </c>
      <c r="K108" s="54" t="s">
        <v>64</v>
      </c>
      <c r="L108" s="48" t="s">
        <v>64</v>
      </c>
      <c r="M108" s="48" t="s">
        <v>64</v>
      </c>
      <c r="N108" s="48" t="s">
        <v>64</v>
      </c>
      <c r="O108" s="48" t="s">
        <v>228</v>
      </c>
      <c r="P108" s="48" t="s">
        <v>64</v>
      </c>
      <c r="Q108" s="48" t="s">
        <v>64</v>
      </c>
      <c r="R108" s="49" t="s">
        <v>103</v>
      </c>
      <c r="S108" s="49" t="s">
        <v>104</v>
      </c>
      <c r="T108" s="39"/>
    </row>
    <row r="109" spans="1:20" ht="34.049999999999997" customHeight="1" x14ac:dyDescent="0.3">
      <c r="A109" s="50">
        <v>104</v>
      </c>
      <c r="B109" s="77" t="s">
        <v>407</v>
      </c>
      <c r="C109" s="8" t="s">
        <v>420</v>
      </c>
      <c r="D109" s="51" t="s">
        <v>421</v>
      </c>
      <c r="E109" s="53" t="s">
        <v>111</v>
      </c>
      <c r="F109" s="54" t="s">
        <v>64</v>
      </c>
      <c r="G109" s="54" t="s">
        <v>64</v>
      </c>
      <c r="H109" s="54" t="s">
        <v>64</v>
      </c>
      <c r="I109" s="45" t="s">
        <v>57</v>
      </c>
      <c r="J109" s="54" t="s">
        <v>64</v>
      </c>
      <c r="K109" s="54" t="s">
        <v>64</v>
      </c>
      <c r="L109" s="52" t="s">
        <v>64</v>
      </c>
      <c r="M109" s="52" t="s">
        <v>64</v>
      </c>
      <c r="N109" s="52" t="s">
        <v>64</v>
      </c>
      <c r="O109" s="52" t="s">
        <v>422</v>
      </c>
      <c r="P109" s="52" t="s">
        <v>64</v>
      </c>
      <c r="Q109" s="52" t="s">
        <v>64</v>
      </c>
      <c r="R109" s="49" t="s">
        <v>103</v>
      </c>
      <c r="S109" s="49" t="s">
        <v>104</v>
      </c>
      <c r="T109" s="8"/>
    </row>
    <row r="111" spans="1:20" x14ac:dyDescent="0.3">
      <c r="A111" s="141" t="s">
        <v>423</v>
      </c>
      <c r="B111" s="131"/>
      <c r="C111" s="131"/>
      <c r="D111" s="78">
        <f>COUNTA(D6:D110)</f>
        <v>104</v>
      </c>
      <c r="R111" s="79">
        <f>COUNTIF(R6:R110,"Implemented")</f>
        <v>0</v>
      </c>
      <c r="S111" s="80">
        <f>COUNTIF(R6:R110,"In Progress")</f>
        <v>0</v>
      </c>
      <c r="T111" s="81">
        <f>COUNTIF(R6:R110,"Not Started")</f>
        <v>104</v>
      </c>
    </row>
    <row r="113" spans="1:12" x14ac:dyDescent="0.3">
      <c r="A113" s="138" t="s">
        <v>72</v>
      </c>
      <c r="B113" s="131"/>
      <c r="C113" s="131"/>
      <c r="D113" s="131"/>
      <c r="E113" s="131"/>
      <c r="F113" s="131"/>
      <c r="G113" s="131"/>
      <c r="H113" s="131"/>
      <c r="I113" s="131"/>
      <c r="J113" s="131"/>
      <c r="K113" s="131"/>
      <c r="L113" s="131"/>
    </row>
  </sheetData>
  <autoFilter ref="A5:T110" xr:uid="{00000000-0009-0000-0000-000001000000}"/>
  <mergeCells count="9">
    <mergeCell ref="A1:R1"/>
    <mergeCell ref="F4:K4"/>
    <mergeCell ref="L4:Q4"/>
    <mergeCell ref="A3:R3"/>
    <mergeCell ref="A113:L113"/>
    <mergeCell ref="A4:E4"/>
    <mergeCell ref="A2:R2"/>
    <mergeCell ref="A111:C111"/>
    <mergeCell ref="R4:T4"/>
  </mergeCells>
  <conditionalFormatting sqref="R6:R110">
    <cfRule type="cellIs" dxfId="73" priority="1" operator="equal">
      <formula>"Implemented"</formula>
    </cfRule>
    <cfRule type="cellIs" dxfId="72" priority="2" operator="equal">
      <formula>"Verified"</formula>
    </cfRule>
    <cfRule type="cellIs" dxfId="71" priority="3" operator="equal">
      <formula>"In Progress"</formula>
    </cfRule>
    <cfRule type="cellIs" dxfId="70" priority="4" operator="equal">
      <formula>"Partial"</formula>
    </cfRule>
    <cfRule type="cellIs" dxfId="69" priority="5" operator="equal">
      <formula>"Planned"</formula>
    </cfRule>
    <cfRule type="cellIs" dxfId="68" priority="6" operator="equal">
      <formula>"Not Started"</formula>
    </cfRule>
    <cfRule type="cellIs" dxfId="67" priority="7" operator="equal">
      <formula>"Not Applicable"</formula>
    </cfRule>
    <cfRule type="cellIs" dxfId="66" priority="8" operator="equal">
      <formula>"Gap — Critical"</formula>
    </cfRule>
  </conditionalFormatting>
  <conditionalFormatting sqref="S6:S110">
    <cfRule type="cellIs" dxfId="65" priority="9" operator="equal">
      <formula>"Critical"</formula>
    </cfRule>
    <cfRule type="cellIs" dxfId="64" priority="10" operator="equal">
      <formula>"High"</formula>
    </cfRule>
    <cfRule type="cellIs" dxfId="63" priority="11" operator="equal">
      <formula>"Medium"</formula>
    </cfRule>
    <cfRule type="cellIs" dxfId="62" priority="12" operator="equal">
      <formula>"Low"</formula>
    </cfRule>
    <cfRule type="cellIs" dxfId="61" priority="13" operator="equal">
      <formula>"N/A"</formula>
    </cfRule>
  </conditionalFormatting>
  <dataValidations count="2">
    <dataValidation type="list" allowBlank="1" sqref="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xr:uid="{00000000-0002-0000-0100-000000000000}">
      <formula1>"Implemented,Verified,In Progress,Partial,Planned,Not Started,Not Applicable,Gap — Critical"</formula1>
    </dataValidation>
    <dataValidation type="list" allowBlank="1" sqref="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xr:uid="{00000000-0002-0000-0100-000001000000}">
      <formula1>"Critical,High,Medium,Low,N/A"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35A"/>
  </sheetPr>
  <dimension ref="A1:L20"/>
  <sheetViews>
    <sheetView workbookViewId="0">
      <pane ySplit="3" topLeftCell="A4" activePane="bottomLeft" state="frozen"/>
      <selection pane="bottomLeft" sqref="A1:L1"/>
    </sheetView>
  </sheetViews>
  <sheetFormatPr defaultRowHeight="14.4" x14ac:dyDescent="0.3"/>
  <cols>
    <col min="1" max="1" width="6" customWidth="1"/>
    <col min="2" max="2" width="16" customWidth="1"/>
    <col min="3" max="4" width="26" customWidth="1"/>
    <col min="5" max="5" width="28" customWidth="1"/>
    <col min="6" max="12" width="14" customWidth="1"/>
  </cols>
  <sheetData>
    <row r="1" spans="1:12" ht="52.05" customHeight="1" x14ac:dyDescent="0.3">
      <c r="A1" s="146" t="s">
        <v>424</v>
      </c>
      <c r="B1" s="131"/>
      <c r="C1" s="131"/>
      <c r="D1" s="131"/>
      <c r="E1" s="131"/>
      <c r="F1" s="131"/>
      <c r="G1" s="131"/>
      <c r="H1" s="131"/>
      <c r="I1" s="131"/>
      <c r="J1" s="131"/>
      <c r="K1" s="131"/>
      <c r="L1" s="131"/>
    </row>
    <row r="2" spans="1:12" ht="19.95" customHeight="1" x14ac:dyDescent="0.3">
      <c r="A2" s="136" t="s">
        <v>425</v>
      </c>
      <c r="B2" s="131"/>
      <c r="C2" s="131"/>
      <c r="D2" s="131"/>
      <c r="E2" s="131"/>
      <c r="F2" s="131"/>
      <c r="G2" s="131"/>
      <c r="H2" s="131"/>
      <c r="I2" s="131"/>
      <c r="J2" s="131"/>
      <c r="K2" s="131"/>
      <c r="L2" s="131"/>
    </row>
    <row r="3" spans="1:12" ht="18" customHeight="1" x14ac:dyDescent="0.3">
      <c r="A3" s="150" t="s">
        <v>426</v>
      </c>
      <c r="B3" s="131"/>
      <c r="C3" s="131"/>
      <c r="D3" s="131"/>
      <c r="E3" s="131"/>
      <c r="F3" s="131"/>
      <c r="G3" s="131"/>
      <c r="H3" s="131"/>
      <c r="I3" s="131"/>
      <c r="J3" s="131"/>
      <c r="K3" s="131"/>
      <c r="L3" s="131"/>
    </row>
    <row r="4" spans="1:12" ht="22.05" customHeight="1" x14ac:dyDescent="0.3">
      <c r="A4" s="149" t="s">
        <v>427</v>
      </c>
      <c r="B4" s="131"/>
      <c r="C4" s="131"/>
      <c r="D4" s="131"/>
      <c r="E4" s="131"/>
      <c r="F4" s="131"/>
    </row>
    <row r="5" spans="1:12" ht="52.05" customHeight="1" x14ac:dyDescent="0.3">
      <c r="A5" s="145" t="s">
        <v>428</v>
      </c>
      <c r="B5" s="131"/>
      <c r="C5" s="131"/>
      <c r="D5" s="131"/>
      <c r="E5" s="131"/>
      <c r="F5" s="131"/>
    </row>
    <row r="7" spans="1:12" ht="22.05" customHeight="1" x14ac:dyDescent="0.3">
      <c r="A7" s="149" t="s">
        <v>429</v>
      </c>
      <c r="B7" s="131"/>
      <c r="C7" s="131"/>
      <c r="D7" s="131"/>
      <c r="E7" s="131"/>
      <c r="F7" s="131"/>
    </row>
    <row r="8" spans="1:12" ht="24" x14ac:dyDescent="0.3">
      <c r="A8" s="27" t="s">
        <v>430</v>
      </c>
      <c r="B8" s="27" t="s">
        <v>431</v>
      </c>
      <c r="C8" s="27" t="s">
        <v>432</v>
      </c>
      <c r="D8" s="27" t="s">
        <v>433</v>
      </c>
      <c r="E8" s="37" t="s">
        <v>434</v>
      </c>
      <c r="F8" s="37" t="s">
        <v>435</v>
      </c>
    </row>
    <row r="9" spans="1:12" ht="52.05" customHeight="1" x14ac:dyDescent="0.3">
      <c r="A9" s="82" t="s">
        <v>142</v>
      </c>
      <c r="B9" s="83" t="s">
        <v>436</v>
      </c>
      <c r="C9" s="8" t="s">
        <v>437</v>
      </c>
      <c r="D9" s="84" t="s">
        <v>438</v>
      </c>
      <c r="E9" s="49" t="s">
        <v>103</v>
      </c>
      <c r="F9" s="8"/>
    </row>
    <row r="10" spans="1:12" ht="52.05" customHeight="1" x14ac:dyDescent="0.3">
      <c r="A10" s="5" t="s">
        <v>439</v>
      </c>
      <c r="B10" s="7" t="s">
        <v>440</v>
      </c>
      <c r="C10" s="85" t="s">
        <v>441</v>
      </c>
      <c r="D10" s="84" t="s">
        <v>442</v>
      </c>
      <c r="E10" s="49" t="s">
        <v>103</v>
      </c>
      <c r="F10" s="85"/>
    </row>
    <row r="11" spans="1:12" ht="52.05" customHeight="1" x14ac:dyDescent="0.3">
      <c r="A11" s="82" t="s">
        <v>443</v>
      </c>
      <c r="B11" s="83" t="s">
        <v>444</v>
      </c>
      <c r="C11" s="8" t="s">
        <v>445</v>
      </c>
      <c r="D11" s="84" t="s">
        <v>446</v>
      </c>
      <c r="E11" s="49" t="s">
        <v>103</v>
      </c>
      <c r="F11" s="8"/>
    </row>
    <row r="12" spans="1:12" ht="52.05" customHeight="1" x14ac:dyDescent="0.3">
      <c r="A12" s="5" t="s">
        <v>97</v>
      </c>
      <c r="B12" s="7" t="s">
        <v>447</v>
      </c>
      <c r="C12" s="85" t="s">
        <v>448</v>
      </c>
      <c r="D12" s="84" t="s">
        <v>449</v>
      </c>
      <c r="E12" s="49" t="s">
        <v>103</v>
      </c>
      <c r="F12" s="85"/>
    </row>
    <row r="13" spans="1:12" ht="52.05" customHeight="1" x14ac:dyDescent="0.3">
      <c r="A13" s="82" t="s">
        <v>122</v>
      </c>
      <c r="B13" s="83" t="s">
        <v>450</v>
      </c>
      <c r="C13" s="8" t="s">
        <v>451</v>
      </c>
      <c r="D13" s="84" t="s">
        <v>452</v>
      </c>
      <c r="E13" s="49" t="s">
        <v>103</v>
      </c>
      <c r="F13" s="8"/>
    </row>
    <row r="14" spans="1:12" ht="52.05" customHeight="1" x14ac:dyDescent="0.3">
      <c r="A14" s="5" t="s">
        <v>227</v>
      </c>
      <c r="B14" s="7" t="s">
        <v>453</v>
      </c>
      <c r="C14" s="85" t="s">
        <v>454</v>
      </c>
      <c r="D14" s="84" t="s">
        <v>455</v>
      </c>
      <c r="E14" s="49" t="s">
        <v>103</v>
      </c>
      <c r="F14" s="85"/>
    </row>
    <row r="15" spans="1:12" ht="52.05" customHeight="1" x14ac:dyDescent="0.3">
      <c r="A15" s="82" t="s">
        <v>456</v>
      </c>
      <c r="B15" s="83" t="s">
        <v>457</v>
      </c>
      <c r="C15" s="8" t="s">
        <v>458</v>
      </c>
      <c r="D15" s="84" t="s">
        <v>459</v>
      </c>
      <c r="E15" s="49" t="s">
        <v>103</v>
      </c>
      <c r="F15" s="8"/>
    </row>
    <row r="17" spans="1:12" ht="22.05" customHeight="1" x14ac:dyDescent="0.3">
      <c r="A17" s="147" t="s">
        <v>460</v>
      </c>
      <c r="B17" s="131"/>
      <c r="C17" s="131"/>
      <c r="D17" s="131"/>
      <c r="E17" s="131"/>
      <c r="F17" s="131"/>
    </row>
    <row r="18" spans="1:12" ht="52.05" customHeight="1" x14ac:dyDescent="0.3">
      <c r="A18" s="148" t="s">
        <v>461</v>
      </c>
      <c r="B18" s="131"/>
      <c r="C18" s="131"/>
      <c r="D18" s="131"/>
      <c r="E18" s="131"/>
      <c r="F18" s="131"/>
    </row>
    <row r="20" spans="1:12" x14ac:dyDescent="0.3">
      <c r="A20" s="138" t="s">
        <v>72</v>
      </c>
      <c r="B20" s="131"/>
      <c r="C20" s="131"/>
      <c r="D20" s="131"/>
      <c r="E20" s="131"/>
      <c r="F20" s="131"/>
      <c r="G20" s="131"/>
      <c r="H20" s="131"/>
      <c r="I20" s="131"/>
      <c r="J20" s="131"/>
      <c r="K20" s="131"/>
      <c r="L20" s="131"/>
    </row>
  </sheetData>
  <mergeCells count="9">
    <mergeCell ref="A20:L20"/>
    <mergeCell ref="A2:L2"/>
    <mergeCell ref="A5:F5"/>
    <mergeCell ref="A1:L1"/>
    <mergeCell ref="A17:F17"/>
    <mergeCell ref="A18:F18"/>
    <mergeCell ref="A4:F4"/>
    <mergeCell ref="A3:L3"/>
    <mergeCell ref="A7:F7"/>
  </mergeCells>
  <conditionalFormatting sqref="E9:E16">
    <cfRule type="cellIs" dxfId="60" priority="1" operator="equal">
      <formula>"Implemented"</formula>
    </cfRule>
    <cfRule type="cellIs" dxfId="59" priority="2" operator="equal">
      <formula>"Verified"</formula>
    </cfRule>
    <cfRule type="cellIs" dxfId="58" priority="3" operator="equal">
      <formula>"In Progress"</formula>
    </cfRule>
    <cfRule type="cellIs" dxfId="57" priority="4" operator="equal">
      <formula>"Partial"</formula>
    </cfRule>
    <cfRule type="cellIs" dxfId="56" priority="5" operator="equal">
      <formula>"Planned"</formula>
    </cfRule>
    <cfRule type="cellIs" dxfId="55" priority="6" operator="equal">
      <formula>"Not Started"</formula>
    </cfRule>
    <cfRule type="cellIs" dxfId="54" priority="7" operator="equal">
      <formula>"Not Applicable"</formula>
    </cfRule>
    <cfRule type="cellIs" dxfId="53" priority="8" operator="equal">
      <formula>"Gap — Critical"</formula>
    </cfRule>
  </conditionalFormatting>
  <dataValidations count="1">
    <dataValidation type="list" allowBlank="1" sqref="E9 E10 E11 E12 E13 E14 E15" xr:uid="{00000000-0002-0000-0200-000000000000}">
      <formula1>"Implemented,In Progress,Planned,Not Started,Not Applicable"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A5276"/>
  </sheetPr>
  <dimension ref="A1:L22"/>
  <sheetViews>
    <sheetView workbookViewId="0">
      <pane ySplit="3" topLeftCell="A4" activePane="bottomLeft" state="frozen"/>
      <selection pane="bottomLeft" sqref="A1:L1"/>
    </sheetView>
  </sheetViews>
  <sheetFormatPr defaultRowHeight="14.4" x14ac:dyDescent="0.3"/>
  <cols>
    <col min="1" max="1" width="6" customWidth="1"/>
    <col min="2" max="2" width="16" customWidth="1"/>
    <col min="3" max="4" width="26" customWidth="1"/>
    <col min="5" max="5" width="28" customWidth="1"/>
    <col min="6" max="12" width="14" customWidth="1"/>
  </cols>
  <sheetData>
    <row r="1" spans="1:12" ht="52.05" customHeight="1" x14ac:dyDescent="0.3">
      <c r="A1" s="152" t="s">
        <v>462</v>
      </c>
      <c r="B1" s="131"/>
      <c r="C1" s="131"/>
      <c r="D1" s="131"/>
      <c r="E1" s="131"/>
      <c r="F1" s="131"/>
      <c r="G1" s="131"/>
      <c r="H1" s="131"/>
      <c r="I1" s="131"/>
      <c r="J1" s="131"/>
      <c r="K1" s="131"/>
      <c r="L1" s="131"/>
    </row>
    <row r="2" spans="1:12" ht="19.95" customHeight="1" x14ac:dyDescent="0.3">
      <c r="A2" s="136" t="s">
        <v>463</v>
      </c>
      <c r="B2" s="131"/>
      <c r="C2" s="131"/>
      <c r="D2" s="131"/>
      <c r="E2" s="131"/>
      <c r="F2" s="131"/>
      <c r="G2" s="131"/>
      <c r="H2" s="131"/>
      <c r="I2" s="131"/>
      <c r="J2" s="131"/>
      <c r="K2" s="131"/>
      <c r="L2" s="131"/>
    </row>
    <row r="3" spans="1:12" ht="18" customHeight="1" x14ac:dyDescent="0.3">
      <c r="A3" s="154" t="s">
        <v>464</v>
      </c>
      <c r="B3" s="131"/>
      <c r="C3" s="131"/>
      <c r="D3" s="131"/>
      <c r="E3" s="131"/>
      <c r="F3" s="131"/>
      <c r="G3" s="131"/>
      <c r="H3" s="131"/>
      <c r="I3" s="131"/>
      <c r="J3" s="131"/>
      <c r="K3" s="131"/>
      <c r="L3" s="131"/>
    </row>
    <row r="4" spans="1:12" ht="22.05" customHeight="1" x14ac:dyDescent="0.3">
      <c r="A4" s="153" t="s">
        <v>427</v>
      </c>
      <c r="B4" s="131"/>
      <c r="C4" s="131"/>
      <c r="D4" s="131"/>
      <c r="E4" s="131"/>
      <c r="F4" s="131"/>
    </row>
    <row r="5" spans="1:12" ht="52.05" customHeight="1" x14ac:dyDescent="0.3">
      <c r="A5" s="151" t="s">
        <v>465</v>
      </c>
      <c r="B5" s="131"/>
      <c r="C5" s="131"/>
      <c r="D5" s="131"/>
      <c r="E5" s="131"/>
      <c r="F5" s="131"/>
    </row>
    <row r="7" spans="1:12" ht="22.05" customHeight="1" x14ac:dyDescent="0.3">
      <c r="A7" s="153" t="s">
        <v>466</v>
      </c>
      <c r="B7" s="131"/>
      <c r="C7" s="131"/>
      <c r="D7" s="131"/>
      <c r="E7" s="131"/>
      <c r="F7" s="131"/>
    </row>
    <row r="8" spans="1:12" ht="24" x14ac:dyDescent="0.3">
      <c r="A8" s="28" t="s">
        <v>430</v>
      </c>
      <c r="B8" s="28" t="s">
        <v>431</v>
      </c>
      <c r="C8" s="28" t="s">
        <v>432</v>
      </c>
      <c r="D8" s="28" t="s">
        <v>433</v>
      </c>
      <c r="E8" s="37" t="s">
        <v>434</v>
      </c>
      <c r="F8" s="37" t="s">
        <v>435</v>
      </c>
    </row>
    <row r="9" spans="1:12" ht="52.05" customHeight="1" x14ac:dyDescent="0.3">
      <c r="A9" s="86" t="s">
        <v>467</v>
      </c>
      <c r="B9" s="87" t="s">
        <v>468</v>
      </c>
      <c r="C9" s="8" t="s">
        <v>469</v>
      </c>
      <c r="D9" s="84" t="s">
        <v>470</v>
      </c>
      <c r="E9" s="49" t="s">
        <v>103</v>
      </c>
      <c r="F9" s="8"/>
    </row>
    <row r="10" spans="1:12" ht="52.05" customHeight="1" x14ac:dyDescent="0.3">
      <c r="A10" s="12" t="s">
        <v>219</v>
      </c>
      <c r="B10" s="14" t="s">
        <v>471</v>
      </c>
      <c r="C10" s="88" t="s">
        <v>472</v>
      </c>
      <c r="D10" s="84" t="s">
        <v>473</v>
      </c>
      <c r="E10" s="49" t="s">
        <v>103</v>
      </c>
      <c r="F10" s="88"/>
    </row>
    <row r="11" spans="1:12" ht="52.05" customHeight="1" x14ac:dyDescent="0.3">
      <c r="A11" s="86" t="s">
        <v>98</v>
      </c>
      <c r="B11" s="87" t="s">
        <v>474</v>
      </c>
      <c r="C11" s="8" t="s">
        <v>475</v>
      </c>
      <c r="D11" s="84" t="s">
        <v>476</v>
      </c>
      <c r="E11" s="49" t="s">
        <v>103</v>
      </c>
      <c r="F11" s="8"/>
    </row>
    <row r="12" spans="1:12" ht="52.05" customHeight="1" x14ac:dyDescent="0.3">
      <c r="A12" s="12" t="s">
        <v>112</v>
      </c>
      <c r="B12" s="14" t="s">
        <v>477</v>
      </c>
      <c r="C12" s="88" t="s">
        <v>478</v>
      </c>
      <c r="D12" s="84" t="s">
        <v>479</v>
      </c>
      <c r="E12" s="49" t="s">
        <v>103</v>
      </c>
      <c r="F12" s="88"/>
    </row>
    <row r="13" spans="1:12" ht="52.05" customHeight="1" x14ac:dyDescent="0.3">
      <c r="A13" s="86" t="s">
        <v>199</v>
      </c>
      <c r="B13" s="87" t="s">
        <v>480</v>
      </c>
      <c r="C13" s="8" t="s">
        <v>481</v>
      </c>
      <c r="D13" s="84" t="s">
        <v>482</v>
      </c>
      <c r="E13" s="49" t="s">
        <v>103</v>
      </c>
      <c r="F13" s="8"/>
    </row>
    <row r="14" spans="1:12" ht="52.05" customHeight="1" x14ac:dyDescent="0.3">
      <c r="A14" s="12" t="s">
        <v>243</v>
      </c>
      <c r="B14" s="14" t="s">
        <v>483</v>
      </c>
      <c r="C14" s="88" t="s">
        <v>484</v>
      </c>
      <c r="D14" s="84" t="s">
        <v>485</v>
      </c>
      <c r="E14" s="49" t="s">
        <v>103</v>
      </c>
      <c r="F14" s="88"/>
    </row>
    <row r="15" spans="1:12" ht="52.05" customHeight="1" x14ac:dyDescent="0.3">
      <c r="A15" s="86" t="s">
        <v>163</v>
      </c>
      <c r="B15" s="87" t="s">
        <v>486</v>
      </c>
      <c r="C15" s="8" t="s">
        <v>487</v>
      </c>
      <c r="D15" s="84" t="s">
        <v>488</v>
      </c>
      <c r="E15" s="49" t="s">
        <v>103</v>
      </c>
      <c r="F15" s="8"/>
    </row>
    <row r="16" spans="1:12" ht="52.05" customHeight="1" x14ac:dyDescent="0.3">
      <c r="A16" s="12" t="s">
        <v>123</v>
      </c>
      <c r="B16" s="14" t="s">
        <v>489</v>
      </c>
      <c r="C16" s="88" t="s">
        <v>490</v>
      </c>
      <c r="D16" s="84" t="s">
        <v>491</v>
      </c>
      <c r="E16" s="49" t="s">
        <v>103</v>
      </c>
      <c r="F16" s="88"/>
    </row>
    <row r="17" spans="1:12" ht="52.05" customHeight="1" x14ac:dyDescent="0.3">
      <c r="A17" s="86" t="s">
        <v>239</v>
      </c>
      <c r="B17" s="87" t="s">
        <v>492</v>
      </c>
      <c r="C17" s="8" t="s">
        <v>493</v>
      </c>
      <c r="D17" s="84" t="s">
        <v>494</v>
      </c>
      <c r="E17" s="49" t="s">
        <v>103</v>
      </c>
      <c r="F17" s="8"/>
    </row>
    <row r="19" spans="1:12" ht="22.05" customHeight="1" x14ac:dyDescent="0.3">
      <c r="A19" s="147" t="s">
        <v>495</v>
      </c>
      <c r="B19" s="131"/>
      <c r="C19" s="131"/>
      <c r="D19" s="131"/>
      <c r="E19" s="131"/>
      <c r="F19" s="131"/>
    </row>
    <row r="20" spans="1:12" ht="52.05" customHeight="1" x14ac:dyDescent="0.3">
      <c r="A20" s="148" t="s">
        <v>496</v>
      </c>
      <c r="B20" s="131"/>
      <c r="C20" s="131"/>
      <c r="D20" s="131"/>
      <c r="E20" s="131"/>
      <c r="F20" s="131"/>
    </row>
    <row r="22" spans="1:12" x14ac:dyDescent="0.3">
      <c r="A22" s="138" t="s">
        <v>72</v>
      </c>
      <c r="B22" s="131"/>
      <c r="C22" s="131"/>
      <c r="D22" s="131"/>
      <c r="E22" s="131"/>
      <c r="F22" s="131"/>
      <c r="G22" s="131"/>
      <c r="H22" s="131"/>
      <c r="I22" s="131"/>
      <c r="J22" s="131"/>
      <c r="K22" s="131"/>
      <c r="L22" s="131"/>
    </row>
  </sheetData>
  <mergeCells count="9">
    <mergeCell ref="A2:L2"/>
    <mergeCell ref="A19:F19"/>
    <mergeCell ref="A5:F5"/>
    <mergeCell ref="A1:L1"/>
    <mergeCell ref="A22:L22"/>
    <mergeCell ref="A4:F4"/>
    <mergeCell ref="A20:F20"/>
    <mergeCell ref="A3:L3"/>
    <mergeCell ref="A7:F7"/>
  </mergeCells>
  <conditionalFormatting sqref="E9:E18">
    <cfRule type="cellIs" dxfId="52" priority="1" operator="equal">
      <formula>"Implemented"</formula>
    </cfRule>
    <cfRule type="cellIs" dxfId="51" priority="2" operator="equal">
      <formula>"Verified"</formula>
    </cfRule>
    <cfRule type="cellIs" dxfId="50" priority="3" operator="equal">
      <formula>"In Progress"</formula>
    </cfRule>
    <cfRule type="cellIs" dxfId="49" priority="4" operator="equal">
      <formula>"Partial"</formula>
    </cfRule>
    <cfRule type="cellIs" dxfId="48" priority="5" operator="equal">
      <formula>"Planned"</formula>
    </cfRule>
    <cfRule type="cellIs" dxfId="47" priority="6" operator="equal">
      <formula>"Not Started"</formula>
    </cfRule>
    <cfRule type="cellIs" dxfId="46" priority="7" operator="equal">
      <formula>"Not Applicable"</formula>
    </cfRule>
    <cfRule type="cellIs" dxfId="45" priority="8" operator="equal">
      <formula>"Gap — Critical"</formula>
    </cfRule>
  </conditionalFormatting>
  <dataValidations count="1">
    <dataValidation type="list" allowBlank="1" sqref="E9 E10 E11 E12 E13 E14 E15 E16 E17" xr:uid="{00000000-0002-0000-0300-000000000000}">
      <formula1>"Implemented,In Progress,Planned,Not Started,Not Applicable"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B6E4F"/>
  </sheetPr>
  <dimension ref="A1:L23"/>
  <sheetViews>
    <sheetView workbookViewId="0">
      <pane ySplit="3" topLeftCell="A4" activePane="bottomLeft" state="frozen"/>
      <selection pane="bottomLeft" sqref="A1:L1"/>
    </sheetView>
  </sheetViews>
  <sheetFormatPr defaultRowHeight="14.4" x14ac:dyDescent="0.3"/>
  <cols>
    <col min="1" max="1" width="6" customWidth="1"/>
    <col min="2" max="2" width="16" customWidth="1"/>
    <col min="3" max="4" width="26" customWidth="1"/>
    <col min="5" max="5" width="28" customWidth="1"/>
    <col min="6" max="12" width="14" customWidth="1"/>
  </cols>
  <sheetData>
    <row r="1" spans="1:12" ht="52.05" customHeight="1" x14ac:dyDescent="0.3">
      <c r="A1" s="156" t="s">
        <v>497</v>
      </c>
      <c r="B1" s="131"/>
      <c r="C1" s="131"/>
      <c r="D1" s="131"/>
      <c r="E1" s="131"/>
      <c r="F1" s="131"/>
      <c r="G1" s="131"/>
      <c r="H1" s="131"/>
      <c r="I1" s="131"/>
      <c r="J1" s="131"/>
      <c r="K1" s="131"/>
      <c r="L1" s="131"/>
    </row>
    <row r="2" spans="1:12" ht="19.95" customHeight="1" x14ac:dyDescent="0.3">
      <c r="A2" s="136" t="s">
        <v>498</v>
      </c>
      <c r="B2" s="131"/>
      <c r="C2" s="131"/>
      <c r="D2" s="131"/>
      <c r="E2" s="131"/>
      <c r="F2" s="131"/>
      <c r="G2" s="131"/>
      <c r="H2" s="131"/>
      <c r="I2" s="131"/>
      <c r="J2" s="131"/>
      <c r="K2" s="131"/>
      <c r="L2" s="131"/>
    </row>
    <row r="3" spans="1:12" ht="18" customHeight="1" x14ac:dyDescent="0.3">
      <c r="A3" s="158" t="s">
        <v>499</v>
      </c>
      <c r="B3" s="131"/>
      <c r="C3" s="131"/>
      <c r="D3" s="131"/>
      <c r="E3" s="131"/>
      <c r="F3" s="131"/>
      <c r="G3" s="131"/>
      <c r="H3" s="131"/>
      <c r="I3" s="131"/>
      <c r="J3" s="131"/>
      <c r="K3" s="131"/>
      <c r="L3" s="131"/>
    </row>
    <row r="4" spans="1:12" ht="22.05" customHeight="1" x14ac:dyDescent="0.3">
      <c r="A4" s="157" t="s">
        <v>427</v>
      </c>
      <c r="B4" s="131"/>
      <c r="C4" s="131"/>
      <c r="D4" s="131"/>
      <c r="E4" s="131"/>
      <c r="F4" s="131"/>
    </row>
    <row r="5" spans="1:12" ht="52.05" customHeight="1" x14ac:dyDescent="0.3">
      <c r="A5" s="155" t="s">
        <v>500</v>
      </c>
      <c r="B5" s="131"/>
      <c r="C5" s="131"/>
      <c r="D5" s="131"/>
      <c r="E5" s="131"/>
      <c r="F5" s="131"/>
    </row>
    <row r="7" spans="1:12" ht="22.05" customHeight="1" x14ac:dyDescent="0.3">
      <c r="A7" s="157" t="s">
        <v>501</v>
      </c>
      <c r="B7" s="131"/>
      <c r="C7" s="131"/>
      <c r="D7" s="131"/>
      <c r="E7" s="131"/>
      <c r="F7" s="131"/>
    </row>
    <row r="8" spans="1:12" ht="24" x14ac:dyDescent="0.3">
      <c r="A8" s="29" t="s">
        <v>430</v>
      </c>
      <c r="B8" s="29" t="s">
        <v>431</v>
      </c>
      <c r="C8" s="29" t="s">
        <v>432</v>
      </c>
      <c r="D8" s="29" t="s">
        <v>433</v>
      </c>
      <c r="E8" s="37" t="s">
        <v>434</v>
      </c>
      <c r="F8" s="37" t="s">
        <v>435</v>
      </c>
    </row>
    <row r="9" spans="1:12" ht="52.05" customHeight="1" x14ac:dyDescent="0.3">
      <c r="A9" s="89" t="s">
        <v>502</v>
      </c>
      <c r="B9" s="90" t="s">
        <v>503</v>
      </c>
      <c r="C9" s="8" t="s">
        <v>504</v>
      </c>
      <c r="D9" s="84" t="s">
        <v>505</v>
      </c>
      <c r="E9" s="49" t="s">
        <v>103</v>
      </c>
      <c r="F9" s="8"/>
    </row>
    <row r="10" spans="1:12" ht="52.05" customHeight="1" x14ac:dyDescent="0.3">
      <c r="A10" s="15" t="s">
        <v>506</v>
      </c>
      <c r="B10" s="17" t="s">
        <v>507</v>
      </c>
      <c r="C10" s="91" t="s">
        <v>508</v>
      </c>
      <c r="D10" s="84" t="s">
        <v>509</v>
      </c>
      <c r="E10" s="49" t="s">
        <v>103</v>
      </c>
      <c r="F10" s="91"/>
    </row>
    <row r="11" spans="1:12" ht="52.05" customHeight="1" x14ac:dyDescent="0.3">
      <c r="A11" s="89" t="s">
        <v>510</v>
      </c>
      <c r="B11" s="90" t="s">
        <v>511</v>
      </c>
      <c r="C11" s="8" t="s">
        <v>512</v>
      </c>
      <c r="D11" s="84" t="s">
        <v>513</v>
      </c>
      <c r="E11" s="49" t="s">
        <v>103</v>
      </c>
      <c r="F11" s="8"/>
    </row>
    <row r="12" spans="1:12" ht="52.05" customHeight="1" x14ac:dyDescent="0.3">
      <c r="A12" s="15" t="s">
        <v>514</v>
      </c>
      <c r="B12" s="17" t="s">
        <v>515</v>
      </c>
      <c r="C12" s="91" t="s">
        <v>516</v>
      </c>
      <c r="D12" s="84" t="s">
        <v>517</v>
      </c>
      <c r="E12" s="49" t="s">
        <v>103</v>
      </c>
      <c r="F12" s="91"/>
    </row>
    <row r="13" spans="1:12" ht="52.05" customHeight="1" x14ac:dyDescent="0.3">
      <c r="A13" s="89" t="s">
        <v>124</v>
      </c>
      <c r="B13" s="90" t="s">
        <v>518</v>
      </c>
      <c r="C13" s="8" t="s">
        <v>519</v>
      </c>
      <c r="D13" s="84" t="s">
        <v>520</v>
      </c>
      <c r="E13" s="49" t="s">
        <v>103</v>
      </c>
      <c r="F13" s="8"/>
    </row>
    <row r="14" spans="1:12" ht="52.05" customHeight="1" x14ac:dyDescent="0.3">
      <c r="A14" s="15" t="s">
        <v>215</v>
      </c>
      <c r="B14" s="17" t="s">
        <v>521</v>
      </c>
      <c r="C14" s="91" t="s">
        <v>522</v>
      </c>
      <c r="D14" s="84" t="s">
        <v>523</v>
      </c>
      <c r="E14" s="49" t="s">
        <v>103</v>
      </c>
      <c r="F14" s="91"/>
    </row>
    <row r="15" spans="1:12" ht="52.05" customHeight="1" x14ac:dyDescent="0.3">
      <c r="A15" s="89" t="s">
        <v>138</v>
      </c>
      <c r="B15" s="90" t="s">
        <v>524</v>
      </c>
      <c r="C15" s="8" t="s">
        <v>525</v>
      </c>
      <c r="D15" s="84" t="s">
        <v>526</v>
      </c>
      <c r="E15" s="49" t="s">
        <v>103</v>
      </c>
      <c r="F15" s="8"/>
    </row>
    <row r="16" spans="1:12" ht="52.05" customHeight="1" x14ac:dyDescent="0.3">
      <c r="A16" s="15" t="s">
        <v>330</v>
      </c>
      <c r="B16" s="17" t="s">
        <v>527</v>
      </c>
      <c r="C16" s="91" t="s">
        <v>528</v>
      </c>
      <c r="D16" s="84" t="s">
        <v>529</v>
      </c>
      <c r="E16" s="49" t="s">
        <v>103</v>
      </c>
      <c r="F16" s="91"/>
    </row>
    <row r="17" spans="1:12" ht="52.05" customHeight="1" x14ac:dyDescent="0.3">
      <c r="A17" s="89" t="s">
        <v>530</v>
      </c>
      <c r="B17" s="90" t="s">
        <v>531</v>
      </c>
      <c r="C17" s="8" t="s">
        <v>532</v>
      </c>
      <c r="D17" s="84" t="s">
        <v>533</v>
      </c>
      <c r="E17" s="49" t="s">
        <v>103</v>
      </c>
      <c r="F17" s="8"/>
    </row>
    <row r="18" spans="1:12" ht="52.05" customHeight="1" x14ac:dyDescent="0.3">
      <c r="A18" s="15" t="s">
        <v>534</v>
      </c>
      <c r="B18" s="17" t="s">
        <v>535</v>
      </c>
      <c r="C18" s="91" t="s">
        <v>536</v>
      </c>
      <c r="D18" s="84" t="s">
        <v>537</v>
      </c>
      <c r="E18" s="49" t="s">
        <v>103</v>
      </c>
      <c r="F18" s="91"/>
    </row>
    <row r="20" spans="1:12" ht="22.05" customHeight="1" x14ac:dyDescent="0.3">
      <c r="A20" s="147" t="s">
        <v>538</v>
      </c>
      <c r="B20" s="131"/>
      <c r="C20" s="131"/>
      <c r="D20" s="131"/>
      <c r="E20" s="131"/>
      <c r="F20" s="131"/>
    </row>
    <row r="21" spans="1:12" ht="52.05" customHeight="1" x14ac:dyDescent="0.3">
      <c r="A21" s="148" t="s">
        <v>539</v>
      </c>
      <c r="B21" s="131"/>
      <c r="C21" s="131"/>
      <c r="D21" s="131"/>
      <c r="E21" s="131"/>
      <c r="F21" s="131"/>
    </row>
    <row r="23" spans="1:12" x14ac:dyDescent="0.3">
      <c r="A23" s="138" t="s">
        <v>72</v>
      </c>
      <c r="B23" s="131"/>
      <c r="C23" s="131"/>
      <c r="D23" s="131"/>
      <c r="E23" s="131"/>
      <c r="F23" s="131"/>
      <c r="G23" s="131"/>
      <c r="H23" s="131"/>
      <c r="I23" s="131"/>
      <c r="J23" s="131"/>
      <c r="K23" s="131"/>
      <c r="L23" s="131"/>
    </row>
  </sheetData>
  <mergeCells count="9">
    <mergeCell ref="A2:L2"/>
    <mergeCell ref="A5:F5"/>
    <mergeCell ref="A1:L1"/>
    <mergeCell ref="A23:L23"/>
    <mergeCell ref="A4:F4"/>
    <mergeCell ref="A20:F20"/>
    <mergeCell ref="A3:L3"/>
    <mergeCell ref="A21:F21"/>
    <mergeCell ref="A7:F7"/>
  </mergeCells>
  <conditionalFormatting sqref="E9:E19">
    <cfRule type="cellIs" dxfId="44" priority="1" operator="equal">
      <formula>"Implemented"</formula>
    </cfRule>
    <cfRule type="cellIs" dxfId="43" priority="2" operator="equal">
      <formula>"Verified"</formula>
    </cfRule>
    <cfRule type="cellIs" dxfId="42" priority="3" operator="equal">
      <formula>"In Progress"</formula>
    </cfRule>
    <cfRule type="cellIs" dxfId="41" priority="4" operator="equal">
      <formula>"Partial"</formula>
    </cfRule>
    <cfRule type="cellIs" dxfId="40" priority="5" operator="equal">
      <formula>"Planned"</formula>
    </cfRule>
    <cfRule type="cellIs" dxfId="39" priority="6" operator="equal">
      <formula>"Not Started"</formula>
    </cfRule>
    <cfRule type="cellIs" dxfId="38" priority="7" operator="equal">
      <formula>"Not Applicable"</formula>
    </cfRule>
    <cfRule type="cellIs" dxfId="37" priority="8" operator="equal">
      <formula>"Gap — Critical"</formula>
    </cfRule>
  </conditionalFormatting>
  <dataValidations count="1">
    <dataValidation type="list" allowBlank="1" sqref="E9 E10 E11 E12 E13 E14 E15 E16 E17 E18" xr:uid="{00000000-0002-0000-0400-000000000000}">
      <formula1>"Implemented,In Progress,Planned,Not Started,Not Applicable"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D3C98"/>
  </sheetPr>
  <dimension ref="A1:L21"/>
  <sheetViews>
    <sheetView workbookViewId="0">
      <pane ySplit="3" topLeftCell="A4" activePane="bottomLeft" state="frozen"/>
      <selection pane="bottomLeft" sqref="A1:L1"/>
    </sheetView>
  </sheetViews>
  <sheetFormatPr defaultRowHeight="14.4" x14ac:dyDescent="0.3"/>
  <cols>
    <col min="1" max="1" width="6" customWidth="1"/>
    <col min="2" max="2" width="16" customWidth="1"/>
    <col min="3" max="4" width="26" customWidth="1"/>
    <col min="5" max="5" width="28" customWidth="1"/>
    <col min="6" max="12" width="14" customWidth="1"/>
  </cols>
  <sheetData>
    <row r="1" spans="1:12" ht="52.05" customHeight="1" x14ac:dyDescent="0.3">
      <c r="A1" s="160" t="s">
        <v>540</v>
      </c>
      <c r="B1" s="131"/>
      <c r="C1" s="131"/>
      <c r="D1" s="131"/>
      <c r="E1" s="131"/>
      <c r="F1" s="131"/>
      <c r="G1" s="131"/>
      <c r="H1" s="131"/>
      <c r="I1" s="131"/>
      <c r="J1" s="131"/>
      <c r="K1" s="131"/>
      <c r="L1" s="131"/>
    </row>
    <row r="2" spans="1:12" ht="19.95" customHeight="1" x14ac:dyDescent="0.3">
      <c r="A2" s="136" t="s">
        <v>541</v>
      </c>
      <c r="B2" s="131"/>
      <c r="C2" s="131"/>
      <c r="D2" s="131"/>
      <c r="E2" s="131"/>
      <c r="F2" s="131"/>
      <c r="G2" s="131"/>
      <c r="H2" s="131"/>
      <c r="I2" s="131"/>
      <c r="J2" s="131"/>
      <c r="K2" s="131"/>
      <c r="L2" s="131"/>
    </row>
    <row r="3" spans="1:12" ht="18" customHeight="1" x14ac:dyDescent="0.3">
      <c r="A3" s="162" t="s">
        <v>542</v>
      </c>
      <c r="B3" s="131"/>
      <c r="C3" s="131"/>
      <c r="D3" s="131"/>
      <c r="E3" s="131"/>
      <c r="F3" s="131"/>
      <c r="G3" s="131"/>
      <c r="H3" s="131"/>
      <c r="I3" s="131"/>
      <c r="J3" s="131"/>
      <c r="K3" s="131"/>
      <c r="L3" s="131"/>
    </row>
    <row r="4" spans="1:12" ht="22.05" customHeight="1" x14ac:dyDescent="0.3">
      <c r="A4" s="161" t="s">
        <v>427</v>
      </c>
      <c r="B4" s="131"/>
      <c r="C4" s="131"/>
      <c r="D4" s="131"/>
      <c r="E4" s="131"/>
      <c r="F4" s="131"/>
    </row>
    <row r="5" spans="1:12" ht="52.05" customHeight="1" x14ac:dyDescent="0.3">
      <c r="A5" s="159" t="s">
        <v>543</v>
      </c>
      <c r="B5" s="131"/>
      <c r="C5" s="131"/>
      <c r="D5" s="131"/>
      <c r="E5" s="131"/>
      <c r="F5" s="131"/>
    </row>
    <row r="7" spans="1:12" ht="22.05" customHeight="1" x14ac:dyDescent="0.3">
      <c r="A7" s="161" t="s">
        <v>544</v>
      </c>
      <c r="B7" s="131"/>
      <c r="C7" s="131"/>
      <c r="D7" s="131"/>
      <c r="E7" s="131"/>
      <c r="F7" s="131"/>
    </row>
    <row r="8" spans="1:12" ht="24" x14ac:dyDescent="0.3">
      <c r="A8" s="30" t="s">
        <v>430</v>
      </c>
      <c r="B8" s="30" t="s">
        <v>431</v>
      </c>
      <c r="C8" s="30" t="s">
        <v>432</v>
      </c>
      <c r="D8" s="30" t="s">
        <v>433</v>
      </c>
      <c r="E8" s="37" t="s">
        <v>434</v>
      </c>
      <c r="F8" s="37" t="s">
        <v>435</v>
      </c>
    </row>
    <row r="9" spans="1:12" ht="52.05" customHeight="1" x14ac:dyDescent="0.3">
      <c r="A9" s="92" t="s">
        <v>545</v>
      </c>
      <c r="B9" s="93" t="s">
        <v>546</v>
      </c>
      <c r="C9" s="8" t="s">
        <v>547</v>
      </c>
      <c r="D9" s="84" t="s">
        <v>548</v>
      </c>
      <c r="E9" s="49" t="s">
        <v>103</v>
      </c>
      <c r="F9" s="8"/>
    </row>
    <row r="10" spans="1:12" ht="52.05" customHeight="1" x14ac:dyDescent="0.3">
      <c r="A10" s="18" t="s">
        <v>549</v>
      </c>
      <c r="B10" s="20" t="s">
        <v>550</v>
      </c>
      <c r="C10" s="94" t="s">
        <v>551</v>
      </c>
      <c r="D10" s="84" t="s">
        <v>552</v>
      </c>
      <c r="E10" s="49" t="s">
        <v>103</v>
      </c>
      <c r="F10" s="94"/>
    </row>
    <row r="11" spans="1:12" ht="52.05" customHeight="1" x14ac:dyDescent="0.3">
      <c r="A11" s="92" t="s">
        <v>553</v>
      </c>
      <c r="B11" s="93" t="s">
        <v>554</v>
      </c>
      <c r="C11" s="8" t="s">
        <v>555</v>
      </c>
      <c r="D11" s="84" t="s">
        <v>556</v>
      </c>
      <c r="E11" s="49" t="s">
        <v>103</v>
      </c>
      <c r="F11" s="8"/>
    </row>
    <row r="12" spans="1:12" ht="52.05" customHeight="1" x14ac:dyDescent="0.3">
      <c r="A12" s="18" t="s">
        <v>557</v>
      </c>
      <c r="B12" s="20" t="s">
        <v>558</v>
      </c>
      <c r="C12" s="94" t="s">
        <v>559</v>
      </c>
      <c r="D12" s="84" t="s">
        <v>560</v>
      </c>
      <c r="E12" s="49" t="s">
        <v>103</v>
      </c>
      <c r="F12" s="94"/>
    </row>
    <row r="13" spans="1:12" ht="52.05" customHeight="1" x14ac:dyDescent="0.3">
      <c r="A13" s="92" t="s">
        <v>561</v>
      </c>
      <c r="B13" s="93" t="s">
        <v>562</v>
      </c>
      <c r="C13" s="8" t="s">
        <v>563</v>
      </c>
      <c r="D13" s="84" t="s">
        <v>564</v>
      </c>
      <c r="E13" s="49" t="s">
        <v>103</v>
      </c>
      <c r="F13" s="8"/>
    </row>
    <row r="14" spans="1:12" ht="52.05" customHeight="1" x14ac:dyDescent="0.3">
      <c r="A14" s="18" t="s">
        <v>565</v>
      </c>
      <c r="B14" s="20" t="s">
        <v>527</v>
      </c>
      <c r="C14" s="94" t="s">
        <v>566</v>
      </c>
      <c r="D14" s="84" t="s">
        <v>567</v>
      </c>
      <c r="E14" s="49" t="s">
        <v>103</v>
      </c>
      <c r="F14" s="94"/>
    </row>
    <row r="15" spans="1:12" ht="52.05" customHeight="1" x14ac:dyDescent="0.3">
      <c r="A15" s="92" t="s">
        <v>221</v>
      </c>
      <c r="B15" s="93" t="s">
        <v>568</v>
      </c>
      <c r="C15" s="8" t="s">
        <v>569</v>
      </c>
      <c r="D15" s="84" t="s">
        <v>570</v>
      </c>
      <c r="E15" s="49" t="s">
        <v>103</v>
      </c>
      <c r="F15" s="8"/>
    </row>
    <row r="16" spans="1:12" ht="52.05" customHeight="1" x14ac:dyDescent="0.3">
      <c r="A16" s="18" t="s">
        <v>228</v>
      </c>
      <c r="B16" s="20" t="s">
        <v>571</v>
      </c>
      <c r="C16" s="94" t="s">
        <v>572</v>
      </c>
      <c r="D16" s="84" t="s">
        <v>573</v>
      </c>
      <c r="E16" s="49" t="s">
        <v>103</v>
      </c>
      <c r="F16" s="94"/>
    </row>
    <row r="18" spans="1:12" ht="22.05" customHeight="1" x14ac:dyDescent="0.3">
      <c r="A18" s="147" t="s">
        <v>574</v>
      </c>
      <c r="B18" s="131"/>
      <c r="C18" s="131"/>
      <c r="D18" s="131"/>
      <c r="E18" s="131"/>
      <c r="F18" s="131"/>
    </row>
    <row r="19" spans="1:12" ht="52.05" customHeight="1" x14ac:dyDescent="0.3">
      <c r="A19" s="148" t="s">
        <v>575</v>
      </c>
      <c r="B19" s="131"/>
      <c r="C19" s="131"/>
      <c r="D19" s="131"/>
      <c r="E19" s="131"/>
      <c r="F19" s="131"/>
    </row>
    <row r="21" spans="1:12" x14ac:dyDescent="0.3">
      <c r="A21" s="138" t="s">
        <v>72</v>
      </c>
      <c r="B21" s="131"/>
      <c r="C21" s="131"/>
      <c r="D21" s="131"/>
      <c r="E21" s="131"/>
      <c r="F21" s="131"/>
      <c r="G21" s="131"/>
      <c r="H21" s="131"/>
      <c r="I21" s="131"/>
      <c r="J21" s="131"/>
      <c r="K21" s="131"/>
      <c r="L21" s="131"/>
    </row>
  </sheetData>
  <mergeCells count="9">
    <mergeCell ref="A21:L21"/>
    <mergeCell ref="A7:F7"/>
    <mergeCell ref="A2:L2"/>
    <mergeCell ref="A19:F19"/>
    <mergeCell ref="A5:F5"/>
    <mergeCell ref="A1:L1"/>
    <mergeCell ref="A18:F18"/>
    <mergeCell ref="A4:F4"/>
    <mergeCell ref="A3:L3"/>
  </mergeCells>
  <conditionalFormatting sqref="E9:E17">
    <cfRule type="cellIs" dxfId="36" priority="1" operator="equal">
      <formula>"Implemented"</formula>
    </cfRule>
    <cfRule type="cellIs" dxfId="35" priority="2" operator="equal">
      <formula>"Verified"</formula>
    </cfRule>
    <cfRule type="cellIs" dxfId="34" priority="3" operator="equal">
      <formula>"In Progress"</formula>
    </cfRule>
    <cfRule type="cellIs" dxfId="33" priority="4" operator="equal">
      <formula>"Partial"</formula>
    </cfRule>
    <cfRule type="cellIs" dxfId="32" priority="5" operator="equal">
      <formula>"Planned"</formula>
    </cfRule>
    <cfRule type="cellIs" dxfId="31" priority="6" operator="equal">
      <formula>"Not Started"</formula>
    </cfRule>
    <cfRule type="cellIs" dxfId="30" priority="7" operator="equal">
      <formula>"Not Applicable"</formula>
    </cfRule>
    <cfRule type="cellIs" dxfId="29" priority="8" operator="equal">
      <formula>"Gap — Critical"</formula>
    </cfRule>
  </conditionalFormatting>
  <dataValidations count="1">
    <dataValidation type="list" allowBlank="1" sqref="E9 E10 E11 E12 E13 E14 E15 E16" xr:uid="{00000000-0002-0000-0500-000000000000}">
      <formula1>"Implemented,In Progress,Planned,Not Started,Not Applicable"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7770D"/>
  </sheetPr>
  <dimension ref="A1:L21"/>
  <sheetViews>
    <sheetView workbookViewId="0">
      <pane ySplit="3" topLeftCell="A4" activePane="bottomLeft" state="frozen"/>
      <selection pane="bottomLeft" sqref="A1:L1"/>
    </sheetView>
  </sheetViews>
  <sheetFormatPr defaultRowHeight="14.4" x14ac:dyDescent="0.3"/>
  <cols>
    <col min="1" max="1" width="6" customWidth="1"/>
    <col min="2" max="2" width="16" customWidth="1"/>
    <col min="3" max="4" width="26" customWidth="1"/>
    <col min="5" max="5" width="28" customWidth="1"/>
    <col min="6" max="12" width="14" customWidth="1"/>
  </cols>
  <sheetData>
    <row r="1" spans="1:12" ht="52.05" customHeight="1" x14ac:dyDescent="0.3">
      <c r="A1" s="164" t="s">
        <v>576</v>
      </c>
      <c r="B1" s="131"/>
      <c r="C1" s="131"/>
      <c r="D1" s="131"/>
      <c r="E1" s="131"/>
      <c r="F1" s="131"/>
      <c r="G1" s="131"/>
      <c r="H1" s="131"/>
      <c r="I1" s="131"/>
      <c r="J1" s="131"/>
      <c r="K1" s="131"/>
      <c r="L1" s="131"/>
    </row>
    <row r="2" spans="1:12" ht="19.95" customHeight="1" x14ac:dyDescent="0.3">
      <c r="A2" s="136" t="s">
        <v>577</v>
      </c>
      <c r="B2" s="131"/>
      <c r="C2" s="131"/>
      <c r="D2" s="131"/>
      <c r="E2" s="131"/>
      <c r="F2" s="131"/>
      <c r="G2" s="131"/>
      <c r="H2" s="131"/>
      <c r="I2" s="131"/>
      <c r="J2" s="131"/>
      <c r="K2" s="131"/>
      <c r="L2" s="131"/>
    </row>
    <row r="3" spans="1:12" ht="18" customHeight="1" x14ac:dyDescent="0.3">
      <c r="A3" s="166" t="s">
        <v>578</v>
      </c>
      <c r="B3" s="131"/>
      <c r="C3" s="131"/>
      <c r="D3" s="131"/>
      <c r="E3" s="131"/>
      <c r="F3" s="131"/>
      <c r="G3" s="131"/>
      <c r="H3" s="131"/>
      <c r="I3" s="131"/>
      <c r="J3" s="131"/>
      <c r="K3" s="131"/>
      <c r="L3" s="131"/>
    </row>
    <row r="4" spans="1:12" ht="22.05" customHeight="1" x14ac:dyDescent="0.3">
      <c r="A4" s="165" t="s">
        <v>427</v>
      </c>
      <c r="B4" s="131"/>
      <c r="C4" s="131"/>
      <c r="D4" s="131"/>
      <c r="E4" s="131"/>
      <c r="F4" s="131"/>
    </row>
    <row r="5" spans="1:12" ht="52.05" customHeight="1" x14ac:dyDescent="0.3">
      <c r="A5" s="163" t="s">
        <v>579</v>
      </c>
      <c r="B5" s="131"/>
      <c r="C5" s="131"/>
      <c r="D5" s="131"/>
      <c r="E5" s="131"/>
      <c r="F5" s="131"/>
    </row>
    <row r="7" spans="1:12" ht="22.05" customHeight="1" x14ac:dyDescent="0.3">
      <c r="A7" s="165" t="s">
        <v>580</v>
      </c>
      <c r="B7" s="131"/>
      <c r="C7" s="131"/>
      <c r="D7" s="131"/>
      <c r="E7" s="131"/>
      <c r="F7" s="131"/>
    </row>
    <row r="8" spans="1:12" ht="24" x14ac:dyDescent="0.3">
      <c r="A8" s="31" t="s">
        <v>430</v>
      </c>
      <c r="B8" s="31" t="s">
        <v>431</v>
      </c>
      <c r="C8" s="31" t="s">
        <v>432</v>
      </c>
      <c r="D8" s="31" t="s">
        <v>433</v>
      </c>
      <c r="E8" s="37" t="s">
        <v>434</v>
      </c>
      <c r="F8" s="37" t="s">
        <v>435</v>
      </c>
    </row>
    <row r="9" spans="1:12" ht="52.05" customHeight="1" x14ac:dyDescent="0.3">
      <c r="A9" s="95" t="s">
        <v>101</v>
      </c>
      <c r="B9" s="96" t="s">
        <v>581</v>
      </c>
      <c r="C9" s="8" t="s">
        <v>582</v>
      </c>
      <c r="D9" s="84" t="s">
        <v>583</v>
      </c>
      <c r="E9" s="49" t="s">
        <v>103</v>
      </c>
      <c r="F9" s="8"/>
    </row>
    <row r="10" spans="1:12" ht="52.05" customHeight="1" x14ac:dyDescent="0.3">
      <c r="A10" s="21" t="s">
        <v>115</v>
      </c>
      <c r="B10" s="23" t="s">
        <v>61</v>
      </c>
      <c r="C10" s="97" t="s">
        <v>584</v>
      </c>
      <c r="D10" s="84" t="s">
        <v>585</v>
      </c>
      <c r="E10" s="49" t="s">
        <v>103</v>
      </c>
      <c r="F10" s="97"/>
    </row>
    <row r="11" spans="1:12" ht="52.05" customHeight="1" x14ac:dyDescent="0.3">
      <c r="A11" s="95" t="s">
        <v>165</v>
      </c>
      <c r="B11" s="96" t="s">
        <v>586</v>
      </c>
      <c r="C11" s="8" t="s">
        <v>587</v>
      </c>
      <c r="D11" s="84" t="s">
        <v>588</v>
      </c>
      <c r="E11" s="49" t="s">
        <v>103</v>
      </c>
      <c r="F11" s="8"/>
    </row>
    <row r="12" spans="1:12" ht="52.05" customHeight="1" x14ac:dyDescent="0.3">
      <c r="A12" s="21" t="s">
        <v>200</v>
      </c>
      <c r="B12" s="23" t="s">
        <v>589</v>
      </c>
      <c r="C12" s="97" t="s">
        <v>590</v>
      </c>
      <c r="D12" s="84" t="s">
        <v>591</v>
      </c>
      <c r="E12" s="49" t="s">
        <v>103</v>
      </c>
      <c r="F12" s="97"/>
    </row>
    <row r="13" spans="1:12" ht="52.05" customHeight="1" x14ac:dyDescent="0.3">
      <c r="A13" s="95" t="s">
        <v>135</v>
      </c>
      <c r="B13" s="96" t="s">
        <v>592</v>
      </c>
      <c r="C13" s="8" t="s">
        <v>593</v>
      </c>
      <c r="D13" s="84" t="s">
        <v>594</v>
      </c>
      <c r="E13" s="49" t="s">
        <v>103</v>
      </c>
      <c r="F13" s="8"/>
    </row>
    <row r="14" spans="1:12" ht="52.05" customHeight="1" x14ac:dyDescent="0.3">
      <c r="A14" s="21" t="s">
        <v>126</v>
      </c>
      <c r="B14" s="23" t="s">
        <v>595</v>
      </c>
      <c r="C14" s="97" t="s">
        <v>596</v>
      </c>
      <c r="D14" s="84" t="s">
        <v>597</v>
      </c>
      <c r="E14" s="49" t="s">
        <v>103</v>
      </c>
      <c r="F14" s="97"/>
    </row>
    <row r="15" spans="1:12" ht="52.05" customHeight="1" x14ac:dyDescent="0.3">
      <c r="A15" s="95" t="s">
        <v>257</v>
      </c>
      <c r="B15" s="96" t="s">
        <v>598</v>
      </c>
      <c r="C15" s="8" t="s">
        <v>599</v>
      </c>
      <c r="D15" s="84" t="s">
        <v>600</v>
      </c>
      <c r="E15" s="49" t="s">
        <v>103</v>
      </c>
      <c r="F15" s="8"/>
    </row>
    <row r="16" spans="1:12" ht="52.05" customHeight="1" x14ac:dyDescent="0.3">
      <c r="A16" s="21" t="s">
        <v>312</v>
      </c>
      <c r="B16" s="23" t="s">
        <v>601</v>
      </c>
      <c r="C16" s="97" t="s">
        <v>602</v>
      </c>
      <c r="D16" s="84" t="s">
        <v>603</v>
      </c>
      <c r="E16" s="49" t="s">
        <v>103</v>
      </c>
      <c r="F16" s="97"/>
    </row>
    <row r="18" spans="1:12" ht="22.05" customHeight="1" x14ac:dyDescent="0.3">
      <c r="A18" s="147" t="s">
        <v>604</v>
      </c>
      <c r="B18" s="131"/>
      <c r="C18" s="131"/>
      <c r="D18" s="131"/>
      <c r="E18" s="131"/>
      <c r="F18" s="131"/>
    </row>
    <row r="19" spans="1:12" ht="52.05" customHeight="1" x14ac:dyDescent="0.3">
      <c r="A19" s="148" t="s">
        <v>605</v>
      </c>
      <c r="B19" s="131"/>
      <c r="C19" s="131"/>
      <c r="D19" s="131"/>
      <c r="E19" s="131"/>
      <c r="F19" s="131"/>
    </row>
    <row r="21" spans="1:12" x14ac:dyDescent="0.3">
      <c r="A21" s="138" t="s">
        <v>72</v>
      </c>
      <c r="B21" s="131"/>
      <c r="C21" s="131"/>
      <c r="D21" s="131"/>
      <c r="E21" s="131"/>
      <c r="F21" s="131"/>
      <c r="G21" s="131"/>
      <c r="H21" s="131"/>
      <c r="I21" s="131"/>
      <c r="J21" s="131"/>
      <c r="K21" s="131"/>
      <c r="L21" s="131"/>
    </row>
  </sheetData>
  <mergeCells count="9">
    <mergeCell ref="A21:L21"/>
    <mergeCell ref="A7:F7"/>
    <mergeCell ref="A2:L2"/>
    <mergeCell ref="A19:F19"/>
    <mergeCell ref="A5:F5"/>
    <mergeCell ref="A1:L1"/>
    <mergeCell ref="A18:F18"/>
    <mergeCell ref="A4:F4"/>
    <mergeCell ref="A3:L3"/>
  </mergeCells>
  <conditionalFormatting sqref="E9:E17">
    <cfRule type="cellIs" dxfId="28" priority="1" operator="equal">
      <formula>"Implemented"</formula>
    </cfRule>
    <cfRule type="cellIs" dxfId="27" priority="2" operator="equal">
      <formula>"Verified"</formula>
    </cfRule>
    <cfRule type="cellIs" dxfId="26" priority="3" operator="equal">
      <formula>"In Progress"</formula>
    </cfRule>
    <cfRule type="cellIs" dxfId="25" priority="4" operator="equal">
      <formula>"Partial"</formula>
    </cfRule>
    <cfRule type="cellIs" dxfId="24" priority="5" operator="equal">
      <formula>"Planned"</formula>
    </cfRule>
    <cfRule type="cellIs" dxfId="23" priority="6" operator="equal">
      <formula>"Not Started"</formula>
    </cfRule>
    <cfRule type="cellIs" dxfId="22" priority="7" operator="equal">
      <formula>"Not Applicable"</formula>
    </cfRule>
    <cfRule type="cellIs" dxfId="21" priority="8" operator="equal">
      <formula>"Gap — Critical"</formula>
    </cfRule>
  </conditionalFormatting>
  <dataValidations count="1">
    <dataValidation type="list" allowBlank="1" sqref="E9 E10 E11 E12 E13 E14 E15 E16" xr:uid="{00000000-0002-0000-0600-000000000000}">
      <formula1>"Implemented,In Progress,Planned,Not Started,Not Applicable"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2B21"/>
  </sheetPr>
  <dimension ref="A1:L21"/>
  <sheetViews>
    <sheetView workbookViewId="0">
      <pane ySplit="3" topLeftCell="A4" activePane="bottomLeft" state="frozen"/>
      <selection pane="bottomLeft" sqref="A1:L1"/>
    </sheetView>
  </sheetViews>
  <sheetFormatPr defaultRowHeight="14.4" x14ac:dyDescent="0.3"/>
  <cols>
    <col min="1" max="1" width="6" customWidth="1"/>
    <col min="2" max="2" width="16" customWidth="1"/>
    <col min="3" max="4" width="26" customWidth="1"/>
    <col min="5" max="5" width="28" customWidth="1"/>
    <col min="6" max="12" width="14" customWidth="1"/>
  </cols>
  <sheetData>
    <row r="1" spans="1:12" ht="52.05" customHeight="1" x14ac:dyDescent="0.3">
      <c r="A1" s="168" t="s">
        <v>606</v>
      </c>
      <c r="B1" s="131"/>
      <c r="C1" s="131"/>
      <c r="D1" s="131"/>
      <c r="E1" s="131"/>
      <c r="F1" s="131"/>
      <c r="G1" s="131"/>
      <c r="H1" s="131"/>
      <c r="I1" s="131"/>
      <c r="J1" s="131"/>
      <c r="K1" s="131"/>
      <c r="L1" s="131"/>
    </row>
    <row r="2" spans="1:12" ht="19.95" customHeight="1" x14ac:dyDescent="0.3">
      <c r="A2" s="136" t="s">
        <v>607</v>
      </c>
      <c r="B2" s="131"/>
      <c r="C2" s="131"/>
      <c r="D2" s="131"/>
      <c r="E2" s="131"/>
      <c r="F2" s="131"/>
      <c r="G2" s="131"/>
      <c r="H2" s="131"/>
      <c r="I2" s="131"/>
      <c r="J2" s="131"/>
      <c r="K2" s="131"/>
      <c r="L2" s="131"/>
    </row>
    <row r="3" spans="1:12" ht="18" customHeight="1" x14ac:dyDescent="0.3">
      <c r="A3" s="170" t="s">
        <v>608</v>
      </c>
      <c r="B3" s="131"/>
      <c r="C3" s="131"/>
      <c r="D3" s="131"/>
      <c r="E3" s="131"/>
      <c r="F3" s="131"/>
      <c r="G3" s="131"/>
      <c r="H3" s="131"/>
      <c r="I3" s="131"/>
      <c r="J3" s="131"/>
      <c r="K3" s="131"/>
      <c r="L3" s="131"/>
    </row>
    <row r="4" spans="1:12" ht="22.05" customHeight="1" x14ac:dyDescent="0.3">
      <c r="A4" s="169" t="s">
        <v>427</v>
      </c>
      <c r="B4" s="131"/>
      <c r="C4" s="131"/>
      <c r="D4" s="131"/>
      <c r="E4" s="131"/>
      <c r="F4" s="131"/>
    </row>
    <row r="5" spans="1:12" ht="52.05" customHeight="1" x14ac:dyDescent="0.3">
      <c r="A5" s="167" t="s">
        <v>609</v>
      </c>
      <c r="B5" s="131"/>
      <c r="C5" s="131"/>
      <c r="D5" s="131"/>
      <c r="E5" s="131"/>
      <c r="F5" s="131"/>
    </row>
    <row r="7" spans="1:12" ht="22.05" customHeight="1" x14ac:dyDescent="0.3">
      <c r="A7" s="169" t="s">
        <v>610</v>
      </c>
      <c r="B7" s="131"/>
      <c r="C7" s="131"/>
      <c r="D7" s="131"/>
      <c r="E7" s="131"/>
      <c r="F7" s="131"/>
    </row>
    <row r="8" spans="1:12" ht="24" x14ac:dyDescent="0.3">
      <c r="A8" s="32" t="s">
        <v>430</v>
      </c>
      <c r="B8" s="32" t="s">
        <v>431</v>
      </c>
      <c r="C8" s="32" t="s">
        <v>432</v>
      </c>
      <c r="D8" s="32" t="s">
        <v>433</v>
      </c>
      <c r="E8" s="37" t="s">
        <v>434</v>
      </c>
      <c r="F8" s="37" t="s">
        <v>435</v>
      </c>
    </row>
    <row r="9" spans="1:12" ht="52.05" customHeight="1" x14ac:dyDescent="0.3">
      <c r="A9" s="98" t="s">
        <v>119</v>
      </c>
      <c r="B9" s="99" t="s">
        <v>611</v>
      </c>
      <c r="C9" s="8" t="s">
        <v>612</v>
      </c>
      <c r="D9" s="84" t="s">
        <v>613</v>
      </c>
      <c r="E9" s="49" t="s">
        <v>103</v>
      </c>
      <c r="F9" s="8"/>
    </row>
    <row r="10" spans="1:12" ht="52.05" customHeight="1" x14ac:dyDescent="0.3">
      <c r="A10" s="24" t="s">
        <v>130</v>
      </c>
      <c r="B10" s="26" t="s">
        <v>614</v>
      </c>
      <c r="C10" s="100" t="s">
        <v>615</v>
      </c>
      <c r="D10" s="84" t="s">
        <v>616</v>
      </c>
      <c r="E10" s="49" t="s">
        <v>103</v>
      </c>
      <c r="F10" s="100"/>
    </row>
    <row r="11" spans="1:12" ht="52.05" customHeight="1" x14ac:dyDescent="0.3">
      <c r="A11" s="98" t="s">
        <v>617</v>
      </c>
      <c r="B11" s="99" t="s">
        <v>618</v>
      </c>
      <c r="C11" s="8" t="s">
        <v>619</v>
      </c>
      <c r="D11" s="84" t="s">
        <v>620</v>
      </c>
      <c r="E11" s="49" t="s">
        <v>103</v>
      </c>
      <c r="F11" s="8"/>
    </row>
    <row r="12" spans="1:12" ht="52.05" customHeight="1" x14ac:dyDescent="0.3">
      <c r="A12" s="24" t="s">
        <v>621</v>
      </c>
      <c r="B12" s="26" t="s">
        <v>622</v>
      </c>
      <c r="C12" s="100" t="s">
        <v>623</v>
      </c>
      <c r="D12" s="84" t="s">
        <v>624</v>
      </c>
      <c r="E12" s="49" t="s">
        <v>103</v>
      </c>
      <c r="F12" s="100"/>
    </row>
    <row r="13" spans="1:12" ht="52.05" customHeight="1" x14ac:dyDescent="0.3">
      <c r="A13" s="98" t="s">
        <v>625</v>
      </c>
      <c r="B13" s="99" t="s">
        <v>626</v>
      </c>
      <c r="C13" s="8" t="s">
        <v>627</v>
      </c>
      <c r="D13" s="84" t="s">
        <v>628</v>
      </c>
      <c r="E13" s="49" t="s">
        <v>103</v>
      </c>
      <c r="F13" s="8"/>
    </row>
    <row r="14" spans="1:12" ht="52.05" customHeight="1" x14ac:dyDescent="0.3">
      <c r="A14" s="24" t="s">
        <v>629</v>
      </c>
      <c r="B14" s="26" t="s">
        <v>630</v>
      </c>
      <c r="C14" s="100" t="s">
        <v>631</v>
      </c>
      <c r="D14" s="84" t="s">
        <v>632</v>
      </c>
      <c r="E14" s="49" t="s">
        <v>103</v>
      </c>
      <c r="F14" s="100"/>
    </row>
    <row r="15" spans="1:12" ht="52.05" customHeight="1" x14ac:dyDescent="0.3">
      <c r="A15" s="98" t="s">
        <v>633</v>
      </c>
      <c r="B15" s="99" t="s">
        <v>634</v>
      </c>
      <c r="C15" s="8" t="s">
        <v>635</v>
      </c>
      <c r="D15" s="84" t="s">
        <v>636</v>
      </c>
      <c r="E15" s="49" t="s">
        <v>103</v>
      </c>
      <c r="F15" s="8"/>
    </row>
    <row r="16" spans="1:12" ht="52.05" customHeight="1" x14ac:dyDescent="0.3">
      <c r="A16" s="24" t="s">
        <v>637</v>
      </c>
      <c r="B16" s="26" t="s">
        <v>638</v>
      </c>
      <c r="C16" s="100" t="s">
        <v>639</v>
      </c>
      <c r="D16" s="84" t="s">
        <v>640</v>
      </c>
      <c r="E16" s="49" t="s">
        <v>103</v>
      </c>
      <c r="F16" s="100"/>
    </row>
    <row r="18" spans="1:12" ht="22.05" customHeight="1" x14ac:dyDescent="0.3">
      <c r="A18" s="147" t="s">
        <v>641</v>
      </c>
      <c r="B18" s="131"/>
      <c r="C18" s="131"/>
      <c r="D18" s="131"/>
      <c r="E18" s="131"/>
      <c r="F18" s="131"/>
    </row>
    <row r="19" spans="1:12" ht="52.05" customHeight="1" x14ac:dyDescent="0.3">
      <c r="A19" s="148" t="s">
        <v>642</v>
      </c>
      <c r="B19" s="131"/>
      <c r="C19" s="131"/>
      <c r="D19" s="131"/>
      <c r="E19" s="131"/>
      <c r="F19" s="131"/>
    </row>
    <row r="21" spans="1:12" x14ac:dyDescent="0.3">
      <c r="A21" s="138" t="s">
        <v>72</v>
      </c>
      <c r="B21" s="131"/>
      <c r="C21" s="131"/>
      <c r="D21" s="131"/>
      <c r="E21" s="131"/>
      <c r="F21" s="131"/>
      <c r="G21" s="131"/>
      <c r="H21" s="131"/>
      <c r="I21" s="131"/>
      <c r="J21" s="131"/>
      <c r="K21" s="131"/>
      <c r="L21" s="131"/>
    </row>
  </sheetData>
  <mergeCells count="9">
    <mergeCell ref="A21:L21"/>
    <mergeCell ref="A7:F7"/>
    <mergeCell ref="A2:L2"/>
    <mergeCell ref="A19:F19"/>
    <mergeCell ref="A5:F5"/>
    <mergeCell ref="A1:L1"/>
    <mergeCell ref="A18:F18"/>
    <mergeCell ref="A4:F4"/>
    <mergeCell ref="A3:L3"/>
  </mergeCells>
  <conditionalFormatting sqref="E9:E17">
    <cfRule type="cellIs" dxfId="20" priority="1" operator="equal">
      <formula>"Implemented"</formula>
    </cfRule>
    <cfRule type="cellIs" dxfId="19" priority="2" operator="equal">
      <formula>"Verified"</formula>
    </cfRule>
    <cfRule type="cellIs" dxfId="18" priority="3" operator="equal">
      <formula>"In Progress"</formula>
    </cfRule>
    <cfRule type="cellIs" dxfId="17" priority="4" operator="equal">
      <formula>"Partial"</formula>
    </cfRule>
    <cfRule type="cellIs" dxfId="16" priority="5" operator="equal">
      <formula>"Planned"</formula>
    </cfRule>
    <cfRule type="cellIs" dxfId="15" priority="6" operator="equal">
      <formula>"Not Started"</formula>
    </cfRule>
    <cfRule type="cellIs" dxfId="14" priority="7" operator="equal">
      <formula>"Not Applicable"</formula>
    </cfRule>
    <cfRule type="cellIs" dxfId="13" priority="8" operator="equal">
      <formula>"Gap — Critical"</formula>
    </cfRule>
  </conditionalFormatting>
  <dataValidations count="1">
    <dataValidation type="list" allowBlank="1" sqref="E9 E10 E11 E12 E13 E14 E15 E16" xr:uid="{00000000-0002-0000-0700-000000000000}">
      <formula1>"Implemented,In Progress,Planned,Not Started,Not Applicable"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B1A1A"/>
  </sheetPr>
  <dimension ref="A1:N21"/>
  <sheetViews>
    <sheetView workbookViewId="0">
      <pane ySplit="4" topLeftCell="A5" activePane="bottomLeft" state="frozen"/>
      <selection pane="bottomLeft" sqref="A1:N1"/>
    </sheetView>
  </sheetViews>
  <sheetFormatPr defaultRowHeight="14.4" x14ac:dyDescent="0.3"/>
  <cols>
    <col min="1" max="1" width="6" customWidth="1"/>
    <col min="2" max="2" width="22" customWidth="1"/>
    <col min="3" max="8" width="12" customWidth="1"/>
    <col min="9" max="12" width="16" customWidth="1"/>
    <col min="13" max="13" width="14" customWidth="1"/>
    <col min="14" max="14" width="20" customWidth="1"/>
  </cols>
  <sheetData>
    <row r="1" spans="1:14" ht="52.05" customHeight="1" x14ac:dyDescent="0.3">
      <c r="A1" s="140" t="s">
        <v>643</v>
      </c>
      <c r="B1" s="131"/>
      <c r="C1" s="131"/>
      <c r="D1" s="131"/>
      <c r="E1" s="131"/>
      <c r="F1" s="131"/>
      <c r="G1" s="131"/>
      <c r="H1" s="131"/>
      <c r="I1" s="131"/>
      <c r="J1" s="131"/>
      <c r="K1" s="131"/>
      <c r="L1" s="131"/>
      <c r="M1" s="131"/>
      <c r="N1" s="131"/>
    </row>
    <row r="2" spans="1:14" ht="19.95" customHeight="1" x14ac:dyDescent="0.3">
      <c r="A2" s="136" t="s">
        <v>644</v>
      </c>
      <c r="B2" s="131"/>
      <c r="C2" s="131"/>
      <c r="D2" s="131"/>
      <c r="E2" s="131"/>
      <c r="F2" s="131"/>
      <c r="G2" s="131"/>
      <c r="H2" s="131"/>
      <c r="I2" s="131"/>
      <c r="J2" s="131"/>
      <c r="K2" s="131"/>
      <c r="L2" s="131"/>
      <c r="M2" s="131"/>
      <c r="N2" s="131"/>
    </row>
    <row r="3" spans="1:14" ht="18" customHeight="1" x14ac:dyDescent="0.3">
      <c r="A3" s="134" t="s">
        <v>645</v>
      </c>
      <c r="B3" s="131"/>
      <c r="C3" s="131"/>
      <c r="D3" s="131"/>
      <c r="E3" s="131"/>
      <c r="F3" s="131"/>
      <c r="G3" s="131"/>
      <c r="H3" s="131"/>
      <c r="I3" s="131"/>
      <c r="J3" s="131"/>
      <c r="K3" s="131"/>
      <c r="L3" s="131"/>
      <c r="M3" s="131"/>
      <c r="N3" s="131"/>
    </row>
    <row r="4" spans="1:14" ht="46.05" customHeight="1" x14ac:dyDescent="0.3">
      <c r="A4" s="1" t="s">
        <v>3</v>
      </c>
      <c r="B4" s="1" t="s">
        <v>80</v>
      </c>
      <c r="C4" s="2" t="s">
        <v>646</v>
      </c>
      <c r="D4" s="27" t="s">
        <v>647</v>
      </c>
      <c r="E4" s="28" t="s">
        <v>648</v>
      </c>
      <c r="F4" s="29" t="s">
        <v>649</v>
      </c>
      <c r="G4" s="30" t="s">
        <v>650</v>
      </c>
      <c r="H4" s="31" t="s">
        <v>651</v>
      </c>
      <c r="I4" s="32" t="s">
        <v>652</v>
      </c>
      <c r="J4" s="37" t="s">
        <v>653</v>
      </c>
      <c r="K4" s="3" t="s">
        <v>654</v>
      </c>
      <c r="L4" s="37" t="s">
        <v>655</v>
      </c>
      <c r="M4" s="37" t="s">
        <v>656</v>
      </c>
      <c r="N4" s="37" t="s">
        <v>657</v>
      </c>
    </row>
    <row r="5" spans="1:14" ht="28.05" customHeight="1" x14ac:dyDescent="0.3">
      <c r="A5" s="50">
        <v>1</v>
      </c>
      <c r="B5" s="35" t="s">
        <v>93</v>
      </c>
      <c r="C5" s="101">
        <v>8</v>
      </c>
      <c r="D5" s="5">
        <v>7</v>
      </c>
      <c r="E5" s="12">
        <v>6</v>
      </c>
      <c r="F5" s="15">
        <v>7</v>
      </c>
      <c r="G5" s="18">
        <v>7</v>
      </c>
      <c r="H5" s="21">
        <v>8</v>
      </c>
      <c r="I5" s="24">
        <v>8</v>
      </c>
      <c r="J5" s="102"/>
      <c r="K5" s="103" t="s">
        <v>104</v>
      </c>
      <c r="L5" s="104"/>
      <c r="M5" s="104"/>
      <c r="N5" s="105"/>
    </row>
    <row r="6" spans="1:14" ht="28.05" customHeight="1" x14ac:dyDescent="0.3">
      <c r="A6" s="38">
        <v>2</v>
      </c>
      <c r="B6" s="33" t="s">
        <v>139</v>
      </c>
      <c r="C6" s="101">
        <v>6</v>
      </c>
      <c r="D6" s="5">
        <v>5</v>
      </c>
      <c r="E6" s="12">
        <v>4</v>
      </c>
      <c r="F6" s="15">
        <v>6</v>
      </c>
      <c r="G6" s="18">
        <v>6</v>
      </c>
      <c r="H6" s="21">
        <v>4</v>
      </c>
      <c r="I6" s="24">
        <v>4</v>
      </c>
      <c r="J6" s="102"/>
      <c r="K6" s="103" t="s">
        <v>104</v>
      </c>
      <c r="L6" s="104"/>
      <c r="M6" s="104"/>
      <c r="N6" s="106"/>
    </row>
    <row r="7" spans="1:14" ht="28.05" customHeight="1" x14ac:dyDescent="0.3">
      <c r="A7" s="50">
        <v>3</v>
      </c>
      <c r="B7" s="35" t="s">
        <v>159</v>
      </c>
      <c r="C7" s="101">
        <v>9</v>
      </c>
      <c r="D7" s="5">
        <v>8</v>
      </c>
      <c r="E7" s="12">
        <v>7</v>
      </c>
      <c r="F7" s="15">
        <v>8</v>
      </c>
      <c r="G7" s="18">
        <v>8</v>
      </c>
      <c r="H7" s="21">
        <v>9</v>
      </c>
      <c r="I7" s="24">
        <v>9</v>
      </c>
      <c r="J7" s="102"/>
      <c r="K7" s="103" t="s">
        <v>104</v>
      </c>
      <c r="L7" s="104"/>
      <c r="M7" s="104"/>
      <c r="N7" s="105"/>
    </row>
    <row r="8" spans="1:14" ht="28.05" customHeight="1" x14ac:dyDescent="0.3">
      <c r="A8" s="38">
        <v>4</v>
      </c>
      <c r="B8" s="33" t="s">
        <v>187</v>
      </c>
      <c r="C8" s="101">
        <v>9</v>
      </c>
      <c r="D8" s="5">
        <v>4</v>
      </c>
      <c r="E8" s="12">
        <v>8</v>
      </c>
      <c r="F8" s="15">
        <v>9</v>
      </c>
      <c r="G8" s="18">
        <v>8</v>
      </c>
      <c r="H8" s="21">
        <v>7</v>
      </c>
      <c r="I8" s="24">
        <v>6</v>
      </c>
      <c r="J8" s="102"/>
      <c r="K8" s="103" t="s">
        <v>104</v>
      </c>
      <c r="L8" s="104"/>
      <c r="M8" s="104"/>
      <c r="N8" s="106"/>
    </row>
    <row r="9" spans="1:14" ht="28.05" customHeight="1" x14ac:dyDescent="0.3">
      <c r="A9" s="50">
        <v>5</v>
      </c>
      <c r="B9" s="35" t="s">
        <v>216</v>
      </c>
      <c r="C9" s="101">
        <v>9</v>
      </c>
      <c r="D9" s="107" t="s">
        <v>64</v>
      </c>
      <c r="E9" s="12">
        <v>7</v>
      </c>
      <c r="F9" s="15">
        <v>9</v>
      </c>
      <c r="G9" s="18">
        <v>3</v>
      </c>
      <c r="H9" s="21">
        <v>1</v>
      </c>
      <c r="I9" s="107" t="s">
        <v>64</v>
      </c>
      <c r="J9" s="102"/>
      <c r="K9" s="103" t="s">
        <v>104</v>
      </c>
      <c r="L9" s="104"/>
      <c r="M9" s="104"/>
      <c r="N9" s="105"/>
    </row>
    <row r="10" spans="1:14" ht="28.05" customHeight="1" x14ac:dyDescent="0.3">
      <c r="A10" s="38">
        <v>6</v>
      </c>
      <c r="B10" s="33" t="s">
        <v>67</v>
      </c>
      <c r="C10" s="101">
        <v>8</v>
      </c>
      <c r="D10" s="5">
        <v>8</v>
      </c>
      <c r="E10" s="107" t="s">
        <v>64</v>
      </c>
      <c r="F10" s="15">
        <v>6</v>
      </c>
      <c r="G10" s="18">
        <v>6</v>
      </c>
      <c r="H10" s="21">
        <v>4</v>
      </c>
      <c r="I10" s="24">
        <v>4</v>
      </c>
      <c r="J10" s="102"/>
      <c r="K10" s="103" t="s">
        <v>104</v>
      </c>
      <c r="L10" s="104"/>
      <c r="M10" s="104"/>
      <c r="N10" s="106"/>
    </row>
    <row r="11" spans="1:14" ht="28.05" customHeight="1" x14ac:dyDescent="0.3">
      <c r="A11" s="50">
        <v>7</v>
      </c>
      <c r="B11" s="35" t="s">
        <v>269</v>
      </c>
      <c r="C11" s="101">
        <v>7</v>
      </c>
      <c r="D11" s="5">
        <v>7</v>
      </c>
      <c r="E11" s="107" t="s">
        <v>64</v>
      </c>
      <c r="F11" s="15">
        <v>7</v>
      </c>
      <c r="G11" s="18">
        <v>7</v>
      </c>
      <c r="H11" s="21">
        <v>6</v>
      </c>
      <c r="I11" s="24">
        <v>5</v>
      </c>
      <c r="J11" s="102"/>
      <c r="K11" s="103" t="s">
        <v>104</v>
      </c>
      <c r="L11" s="104"/>
      <c r="M11" s="104"/>
      <c r="N11" s="105"/>
    </row>
    <row r="12" spans="1:14" ht="28.05" customHeight="1" x14ac:dyDescent="0.3">
      <c r="A12" s="38">
        <v>8</v>
      </c>
      <c r="B12" s="33" t="s">
        <v>284</v>
      </c>
      <c r="C12" s="101">
        <v>8</v>
      </c>
      <c r="D12" s="5">
        <v>7</v>
      </c>
      <c r="E12" s="12">
        <v>4</v>
      </c>
      <c r="F12" s="15">
        <v>8</v>
      </c>
      <c r="G12" s="18">
        <v>8</v>
      </c>
      <c r="H12" s="21">
        <v>7</v>
      </c>
      <c r="I12" s="24">
        <v>7</v>
      </c>
      <c r="J12" s="102"/>
      <c r="K12" s="103" t="s">
        <v>104</v>
      </c>
      <c r="L12" s="104"/>
      <c r="M12" s="104"/>
      <c r="N12" s="106"/>
    </row>
    <row r="13" spans="1:14" ht="28.05" customHeight="1" x14ac:dyDescent="0.3">
      <c r="A13" s="50">
        <v>9</v>
      </c>
      <c r="B13" s="35" t="s">
        <v>308</v>
      </c>
      <c r="C13" s="101">
        <v>7</v>
      </c>
      <c r="D13" s="5">
        <v>6</v>
      </c>
      <c r="E13" s="12">
        <v>6</v>
      </c>
      <c r="F13" s="15">
        <v>7</v>
      </c>
      <c r="G13" s="18">
        <v>7</v>
      </c>
      <c r="H13" s="21">
        <v>7</v>
      </c>
      <c r="I13" s="24">
        <v>4</v>
      </c>
      <c r="J13" s="102"/>
      <c r="K13" s="103" t="s">
        <v>104</v>
      </c>
      <c r="L13" s="104"/>
      <c r="M13" s="104"/>
      <c r="N13" s="105"/>
    </row>
    <row r="14" spans="1:14" ht="28.05" customHeight="1" x14ac:dyDescent="0.3">
      <c r="A14" s="38">
        <v>10</v>
      </c>
      <c r="B14" s="33" t="s">
        <v>332</v>
      </c>
      <c r="C14" s="101">
        <v>5</v>
      </c>
      <c r="D14" s="5">
        <v>4</v>
      </c>
      <c r="E14" s="12">
        <v>2</v>
      </c>
      <c r="F14" s="15">
        <v>4</v>
      </c>
      <c r="G14" s="18">
        <v>5</v>
      </c>
      <c r="H14" s="21">
        <v>3</v>
      </c>
      <c r="I14" s="24">
        <v>2</v>
      </c>
      <c r="J14" s="102"/>
      <c r="K14" s="103" t="s">
        <v>104</v>
      </c>
      <c r="L14" s="104"/>
      <c r="M14" s="104"/>
      <c r="N14" s="106"/>
    </row>
    <row r="15" spans="1:14" ht="28.05" customHeight="1" x14ac:dyDescent="0.3">
      <c r="A15" s="50">
        <v>11</v>
      </c>
      <c r="B15" s="35" t="s">
        <v>348</v>
      </c>
      <c r="C15" s="101">
        <v>5</v>
      </c>
      <c r="D15" s="5">
        <v>5</v>
      </c>
      <c r="E15" s="107" t="s">
        <v>64</v>
      </c>
      <c r="F15" s="15">
        <v>5</v>
      </c>
      <c r="G15" s="18">
        <v>5</v>
      </c>
      <c r="H15" s="21">
        <v>4</v>
      </c>
      <c r="I15" s="24">
        <v>4</v>
      </c>
      <c r="J15" s="102"/>
      <c r="K15" s="103" t="s">
        <v>104</v>
      </c>
      <c r="L15" s="104"/>
      <c r="M15" s="104"/>
      <c r="N15" s="105"/>
    </row>
    <row r="16" spans="1:14" ht="28.05" customHeight="1" x14ac:dyDescent="0.3">
      <c r="A16" s="38">
        <v>12</v>
      </c>
      <c r="B16" s="33" t="s">
        <v>363</v>
      </c>
      <c r="C16" s="101">
        <v>6</v>
      </c>
      <c r="D16" s="5">
        <v>4</v>
      </c>
      <c r="E16" s="12">
        <v>5</v>
      </c>
      <c r="F16" s="15">
        <v>6</v>
      </c>
      <c r="G16" s="18">
        <v>5</v>
      </c>
      <c r="H16" s="21">
        <v>5</v>
      </c>
      <c r="I16" s="24">
        <v>3</v>
      </c>
      <c r="J16" s="102"/>
      <c r="K16" s="103" t="s">
        <v>104</v>
      </c>
      <c r="L16" s="104"/>
      <c r="M16" s="104"/>
      <c r="N16" s="106"/>
    </row>
    <row r="17" spans="1:14" ht="28.05" customHeight="1" x14ac:dyDescent="0.3">
      <c r="A17" s="50">
        <v>13</v>
      </c>
      <c r="B17" s="35" t="s">
        <v>380</v>
      </c>
      <c r="C17" s="101">
        <v>5</v>
      </c>
      <c r="D17" s="5">
        <v>4</v>
      </c>
      <c r="E17" s="107" t="s">
        <v>64</v>
      </c>
      <c r="F17" s="15">
        <v>4</v>
      </c>
      <c r="G17" s="18">
        <v>4</v>
      </c>
      <c r="H17" s="21">
        <v>3</v>
      </c>
      <c r="I17" s="24">
        <v>4</v>
      </c>
      <c r="J17" s="102"/>
      <c r="K17" s="103" t="s">
        <v>104</v>
      </c>
      <c r="L17" s="104"/>
      <c r="M17" s="104"/>
      <c r="N17" s="105"/>
    </row>
    <row r="18" spans="1:14" ht="28.05" customHeight="1" x14ac:dyDescent="0.3">
      <c r="A18" s="38">
        <v>14</v>
      </c>
      <c r="B18" s="33" t="s">
        <v>391</v>
      </c>
      <c r="C18" s="101">
        <v>6</v>
      </c>
      <c r="D18" s="107" t="s">
        <v>64</v>
      </c>
      <c r="E18" s="107" t="s">
        <v>64</v>
      </c>
      <c r="F18" s="107" t="s">
        <v>64</v>
      </c>
      <c r="G18" s="107" t="s">
        <v>64</v>
      </c>
      <c r="H18" s="21">
        <v>3</v>
      </c>
      <c r="I18" s="24">
        <v>6</v>
      </c>
      <c r="J18" s="102"/>
      <c r="K18" s="103" t="s">
        <v>104</v>
      </c>
      <c r="L18" s="104"/>
      <c r="M18" s="104"/>
      <c r="N18" s="106"/>
    </row>
    <row r="19" spans="1:14" ht="28.05" customHeight="1" x14ac:dyDescent="0.3">
      <c r="A19" s="50">
        <v>15</v>
      </c>
      <c r="B19" s="35" t="s">
        <v>407</v>
      </c>
      <c r="C19" s="101">
        <v>6</v>
      </c>
      <c r="D19" s="107" t="s">
        <v>64</v>
      </c>
      <c r="E19" s="107" t="s">
        <v>64</v>
      </c>
      <c r="F19" s="107" t="s">
        <v>64</v>
      </c>
      <c r="G19" s="18">
        <v>6</v>
      </c>
      <c r="H19" s="107" t="s">
        <v>64</v>
      </c>
      <c r="I19" s="107" t="s">
        <v>64</v>
      </c>
      <c r="J19" s="102"/>
      <c r="K19" s="103" t="s">
        <v>104</v>
      </c>
      <c r="L19" s="104"/>
      <c r="M19" s="104"/>
      <c r="N19" s="105"/>
    </row>
    <row r="21" spans="1:14" x14ac:dyDescent="0.3">
      <c r="A21" s="138" t="s">
        <v>72</v>
      </c>
      <c r="B21" s="131"/>
      <c r="C21" s="131"/>
      <c r="D21" s="131"/>
      <c r="E21" s="131"/>
      <c r="F21" s="131"/>
      <c r="G21" s="131"/>
      <c r="H21" s="131"/>
      <c r="I21" s="131"/>
      <c r="J21" s="131"/>
      <c r="K21" s="131"/>
      <c r="L21" s="131"/>
    </row>
  </sheetData>
  <mergeCells count="4">
    <mergeCell ref="A21:L21"/>
    <mergeCell ref="A3:N3"/>
    <mergeCell ref="A2:N2"/>
    <mergeCell ref="A1:N1"/>
  </mergeCells>
  <conditionalFormatting sqref="K5:K20">
    <cfRule type="cellIs" dxfId="12" priority="1" operator="equal">
      <formula>"Critical"</formula>
    </cfRule>
    <cfRule type="cellIs" dxfId="11" priority="2" operator="equal">
      <formula>"High"</formula>
    </cfRule>
    <cfRule type="cellIs" dxfId="10" priority="3" operator="equal">
      <formula>"Medium"</formula>
    </cfRule>
    <cfRule type="cellIs" dxfId="9" priority="4" operator="equal">
      <formula>"Low"</formula>
    </cfRule>
    <cfRule type="cellIs" dxfId="8" priority="5" operator="equal">
      <formula>"N/A"</formula>
    </cfRule>
  </conditionalFormatting>
  <dataValidations count="1">
    <dataValidation type="list" allowBlank="1" sqref="K5 K6 K7 K8 K9 K10 K11 K12 K13 K14 K15 K16 K17 K18 K19" xr:uid="{00000000-0002-0000-0800-000000000000}">
      <formula1>"Critical,High,Medium,Low,Not Applicable"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9A84C"/>
  </sheetPr>
  <dimension ref="A1:L35"/>
  <sheetViews>
    <sheetView workbookViewId="0">
      <pane ySplit="3" topLeftCell="A4" activePane="bottomLeft" state="frozen"/>
      <selection pane="bottomLeft" activeCell="E45" sqref="E45"/>
    </sheetView>
  </sheetViews>
  <sheetFormatPr defaultRowHeight="14.4" x14ac:dyDescent="0.3"/>
  <cols>
    <col min="1" max="1" width="26" customWidth="1"/>
    <col min="2" max="7" width="14" customWidth="1"/>
    <col min="8" max="12" width="18" customWidth="1"/>
  </cols>
  <sheetData>
    <row r="1" spans="1:12" ht="52.05" customHeight="1" x14ac:dyDescent="0.3">
      <c r="A1" s="140" t="s">
        <v>658</v>
      </c>
      <c r="B1" s="131"/>
      <c r="C1" s="131"/>
      <c r="D1" s="131"/>
      <c r="E1" s="131"/>
      <c r="F1" s="131"/>
      <c r="G1" s="131"/>
      <c r="H1" s="131"/>
      <c r="I1" s="131"/>
      <c r="J1" s="131"/>
      <c r="K1" s="131"/>
      <c r="L1" s="131"/>
    </row>
    <row r="2" spans="1:12" ht="19.95" customHeight="1" x14ac:dyDescent="0.3">
      <c r="A2" s="136" t="s">
        <v>659</v>
      </c>
      <c r="B2" s="131"/>
      <c r="C2" s="131"/>
      <c r="D2" s="131"/>
      <c r="E2" s="131"/>
      <c r="F2" s="131"/>
      <c r="G2" s="131"/>
      <c r="H2" s="131"/>
      <c r="I2" s="131"/>
      <c r="J2" s="131"/>
      <c r="K2" s="131"/>
      <c r="L2" s="131"/>
    </row>
    <row r="3" spans="1:12" ht="18" customHeight="1" x14ac:dyDescent="0.3">
      <c r="A3" s="134" t="s">
        <v>660</v>
      </c>
      <c r="B3" s="131"/>
      <c r="C3" s="131"/>
      <c r="D3" s="131"/>
      <c r="E3" s="131"/>
      <c r="F3" s="131"/>
      <c r="G3" s="131"/>
      <c r="H3" s="131"/>
      <c r="I3" s="131"/>
      <c r="J3" s="131"/>
      <c r="K3" s="131"/>
      <c r="L3" s="131"/>
    </row>
    <row r="4" spans="1:12" ht="22.05" customHeight="1" x14ac:dyDescent="0.3">
      <c r="A4" s="172" t="s">
        <v>661</v>
      </c>
      <c r="B4" s="131"/>
      <c r="C4" s="131"/>
      <c r="D4" s="131"/>
      <c r="E4" s="131"/>
      <c r="F4" s="131"/>
      <c r="G4" s="131"/>
    </row>
    <row r="5" spans="1:12" ht="24" x14ac:dyDescent="0.3">
      <c r="A5" s="1" t="s">
        <v>4</v>
      </c>
      <c r="B5" s="2" t="s">
        <v>662</v>
      </c>
      <c r="C5" s="2" t="s">
        <v>663</v>
      </c>
      <c r="D5" s="2" t="s">
        <v>664</v>
      </c>
      <c r="E5" s="2" t="s">
        <v>103</v>
      </c>
      <c r="F5" s="37" t="s">
        <v>665</v>
      </c>
      <c r="G5" s="37" t="s">
        <v>666</v>
      </c>
    </row>
    <row r="6" spans="1:12" ht="30" customHeight="1" x14ac:dyDescent="0.3">
      <c r="A6" s="7" t="s">
        <v>667</v>
      </c>
      <c r="B6" s="108">
        <v>69</v>
      </c>
      <c r="C6" s="109" t="s">
        <v>668</v>
      </c>
      <c r="D6" s="103" t="s">
        <v>668</v>
      </c>
      <c r="E6" s="110" t="s">
        <v>669</v>
      </c>
      <c r="F6" s="111" t="s">
        <v>670</v>
      </c>
      <c r="G6" s="112" t="s">
        <v>671</v>
      </c>
    </row>
    <row r="7" spans="1:12" ht="30" customHeight="1" x14ac:dyDescent="0.3">
      <c r="A7" s="14" t="s">
        <v>672</v>
      </c>
      <c r="B7" s="113">
        <v>49</v>
      </c>
      <c r="C7" s="109" t="s">
        <v>668</v>
      </c>
      <c r="D7" s="103" t="s">
        <v>668</v>
      </c>
      <c r="E7" s="110" t="s">
        <v>673</v>
      </c>
      <c r="F7" s="111" t="s">
        <v>670</v>
      </c>
      <c r="G7" s="112" t="s">
        <v>671</v>
      </c>
    </row>
    <row r="8" spans="1:12" ht="30" customHeight="1" x14ac:dyDescent="0.3">
      <c r="A8" s="17" t="s">
        <v>674</v>
      </c>
      <c r="B8" s="114">
        <v>86</v>
      </c>
      <c r="C8" s="109" t="s">
        <v>668</v>
      </c>
      <c r="D8" s="103" t="s">
        <v>668</v>
      </c>
      <c r="E8" s="110" t="s">
        <v>675</v>
      </c>
      <c r="F8" s="111" t="s">
        <v>670</v>
      </c>
      <c r="G8" s="112" t="s">
        <v>671</v>
      </c>
    </row>
    <row r="9" spans="1:12" ht="30" customHeight="1" x14ac:dyDescent="0.3">
      <c r="A9" s="20" t="s">
        <v>676</v>
      </c>
      <c r="B9" s="115">
        <v>85</v>
      </c>
      <c r="C9" s="109" t="s">
        <v>668</v>
      </c>
      <c r="D9" s="103" t="s">
        <v>668</v>
      </c>
      <c r="E9" s="110" t="s">
        <v>677</v>
      </c>
      <c r="F9" s="111" t="s">
        <v>670</v>
      </c>
      <c r="G9" s="112" t="s">
        <v>671</v>
      </c>
    </row>
    <row r="10" spans="1:12" ht="30" customHeight="1" x14ac:dyDescent="0.3">
      <c r="A10" s="23" t="s">
        <v>678</v>
      </c>
      <c r="B10" s="116">
        <v>71</v>
      </c>
      <c r="C10" s="109" t="s">
        <v>668</v>
      </c>
      <c r="D10" s="103" t="s">
        <v>668</v>
      </c>
      <c r="E10" s="110" t="s">
        <v>679</v>
      </c>
      <c r="F10" s="111" t="s">
        <v>670</v>
      </c>
      <c r="G10" s="112" t="s">
        <v>671</v>
      </c>
    </row>
    <row r="11" spans="1:12" ht="30" customHeight="1" x14ac:dyDescent="0.3">
      <c r="A11" s="26" t="s">
        <v>680</v>
      </c>
      <c r="B11" s="117">
        <v>66</v>
      </c>
      <c r="C11" s="109" t="s">
        <v>668</v>
      </c>
      <c r="D11" s="103" t="s">
        <v>668</v>
      </c>
      <c r="E11" s="110" t="s">
        <v>681</v>
      </c>
      <c r="F11" s="111" t="s">
        <v>670</v>
      </c>
      <c r="G11" s="112" t="s">
        <v>671</v>
      </c>
    </row>
    <row r="14" spans="1:12" ht="22.05" customHeight="1" x14ac:dyDescent="0.3">
      <c r="A14" s="171" t="s">
        <v>682</v>
      </c>
      <c r="B14" s="131"/>
      <c r="C14" s="131"/>
      <c r="D14" s="131"/>
      <c r="E14" s="131"/>
      <c r="F14" s="131"/>
      <c r="G14" s="131"/>
    </row>
    <row r="15" spans="1:12" ht="36" x14ac:dyDescent="0.3">
      <c r="A15" s="3" t="s">
        <v>4</v>
      </c>
      <c r="B15" s="3" t="s">
        <v>683</v>
      </c>
      <c r="C15" s="3" t="s">
        <v>684</v>
      </c>
      <c r="D15" s="3" t="s">
        <v>685</v>
      </c>
      <c r="E15" s="37" t="s">
        <v>686</v>
      </c>
      <c r="F15" s="37" t="s">
        <v>687</v>
      </c>
      <c r="G15" s="3" t="s">
        <v>688</v>
      </c>
    </row>
    <row r="16" spans="1:12" ht="30" customHeight="1" x14ac:dyDescent="0.3">
      <c r="A16" s="118" t="s">
        <v>11</v>
      </c>
      <c r="B16" s="119" t="s">
        <v>689</v>
      </c>
      <c r="C16" s="85" t="s">
        <v>690</v>
      </c>
      <c r="D16" s="85" t="s">
        <v>691</v>
      </c>
      <c r="E16" s="49" t="s">
        <v>692</v>
      </c>
      <c r="F16" s="102"/>
      <c r="G16" s="103" t="s">
        <v>104</v>
      </c>
    </row>
    <row r="17" spans="1:7" ht="30" customHeight="1" x14ac:dyDescent="0.3">
      <c r="A17" s="120" t="s">
        <v>18</v>
      </c>
      <c r="B17" s="119" t="s">
        <v>693</v>
      </c>
      <c r="C17" s="8" t="s">
        <v>694</v>
      </c>
      <c r="D17" s="8" t="s">
        <v>695</v>
      </c>
      <c r="E17" s="49" t="s">
        <v>692</v>
      </c>
      <c r="F17" s="102"/>
      <c r="G17" s="103" t="s">
        <v>104</v>
      </c>
    </row>
    <row r="18" spans="1:7" ht="30" customHeight="1" x14ac:dyDescent="0.3">
      <c r="A18" s="121" t="s">
        <v>25</v>
      </c>
      <c r="B18" s="119" t="s">
        <v>696</v>
      </c>
      <c r="C18" s="91" t="s">
        <v>697</v>
      </c>
      <c r="D18" s="91" t="s">
        <v>698</v>
      </c>
      <c r="E18" s="49" t="s">
        <v>692</v>
      </c>
      <c r="F18" s="102"/>
      <c r="G18" s="103" t="s">
        <v>104</v>
      </c>
    </row>
    <row r="19" spans="1:7" ht="30" customHeight="1" x14ac:dyDescent="0.3">
      <c r="A19" s="122" t="s">
        <v>32</v>
      </c>
      <c r="B19" s="119" t="s">
        <v>699</v>
      </c>
      <c r="C19" s="8" t="s">
        <v>700</v>
      </c>
      <c r="D19" s="8" t="s">
        <v>701</v>
      </c>
      <c r="E19" s="49" t="s">
        <v>692</v>
      </c>
      <c r="F19" s="102"/>
      <c r="G19" s="103" t="s">
        <v>104</v>
      </c>
    </row>
    <row r="20" spans="1:7" ht="30" customHeight="1" x14ac:dyDescent="0.3">
      <c r="A20" s="123" t="s">
        <v>39</v>
      </c>
      <c r="B20" s="119" t="s">
        <v>702</v>
      </c>
      <c r="C20" s="97" t="s">
        <v>703</v>
      </c>
      <c r="D20" s="97" t="s">
        <v>704</v>
      </c>
      <c r="E20" s="49" t="s">
        <v>692</v>
      </c>
      <c r="F20" s="102"/>
      <c r="G20" s="103" t="s">
        <v>104</v>
      </c>
    </row>
    <row r="21" spans="1:7" ht="30" customHeight="1" x14ac:dyDescent="0.3">
      <c r="A21" s="124" t="s">
        <v>46</v>
      </c>
      <c r="B21" s="119" t="s">
        <v>705</v>
      </c>
      <c r="C21" s="8" t="s">
        <v>706</v>
      </c>
      <c r="D21" s="8" t="s">
        <v>707</v>
      </c>
      <c r="E21" s="49" t="s">
        <v>692</v>
      </c>
      <c r="F21" s="102"/>
      <c r="G21" s="103" t="s">
        <v>104</v>
      </c>
    </row>
    <row r="24" spans="1:7" ht="25.95" customHeight="1" x14ac:dyDescent="0.3">
      <c r="A24" s="173" t="s">
        <v>708</v>
      </c>
      <c r="B24" s="131"/>
      <c r="C24" s="131"/>
      <c r="D24" s="131"/>
      <c r="E24" s="131"/>
      <c r="F24" s="131"/>
      <c r="G24" s="131"/>
    </row>
    <row r="25" spans="1:7" ht="24" x14ac:dyDescent="0.3">
      <c r="A25" s="1" t="s">
        <v>82</v>
      </c>
      <c r="B25" s="1" t="s">
        <v>709</v>
      </c>
      <c r="C25" s="2" t="s">
        <v>710</v>
      </c>
      <c r="D25" s="2" t="s">
        <v>83</v>
      </c>
      <c r="E25" s="4" t="s">
        <v>711</v>
      </c>
      <c r="F25" s="37" t="s">
        <v>712</v>
      </c>
      <c r="G25" s="37" t="s">
        <v>713</v>
      </c>
    </row>
    <row r="26" spans="1:7" ht="30" customHeight="1" x14ac:dyDescent="0.3">
      <c r="A26" s="125" t="s">
        <v>167</v>
      </c>
      <c r="B26" s="126" t="s">
        <v>714</v>
      </c>
      <c r="C26" s="11" t="s">
        <v>715</v>
      </c>
      <c r="D26" s="127" t="s">
        <v>162</v>
      </c>
      <c r="E26" s="39" t="s">
        <v>716</v>
      </c>
      <c r="F26" s="49" t="s">
        <v>103</v>
      </c>
      <c r="G26" s="104"/>
    </row>
    <row r="27" spans="1:7" ht="30" customHeight="1" x14ac:dyDescent="0.3">
      <c r="A27" s="128" t="s">
        <v>292</v>
      </c>
      <c r="B27" s="129" t="s">
        <v>717</v>
      </c>
      <c r="C27" s="11" t="s">
        <v>715</v>
      </c>
      <c r="D27" s="127" t="s">
        <v>162</v>
      </c>
      <c r="E27" s="8" t="s">
        <v>718</v>
      </c>
      <c r="F27" s="49" t="s">
        <v>103</v>
      </c>
      <c r="G27" s="104"/>
    </row>
    <row r="28" spans="1:7" ht="30" customHeight="1" x14ac:dyDescent="0.3">
      <c r="A28" s="125" t="s">
        <v>191</v>
      </c>
      <c r="B28" s="126" t="s">
        <v>719</v>
      </c>
      <c r="C28" s="11" t="s">
        <v>715</v>
      </c>
      <c r="D28" s="127" t="s">
        <v>162</v>
      </c>
      <c r="E28" s="39" t="s">
        <v>720</v>
      </c>
      <c r="F28" s="49" t="s">
        <v>103</v>
      </c>
      <c r="G28" s="104"/>
    </row>
    <row r="29" spans="1:7" ht="30" customHeight="1" x14ac:dyDescent="0.3">
      <c r="A29" s="128" t="s">
        <v>310</v>
      </c>
      <c r="B29" s="129" t="s">
        <v>721</v>
      </c>
      <c r="C29" s="11" t="s">
        <v>715</v>
      </c>
      <c r="D29" s="127" t="s">
        <v>111</v>
      </c>
      <c r="E29" s="8" t="s">
        <v>722</v>
      </c>
      <c r="F29" s="49" t="s">
        <v>103</v>
      </c>
      <c r="G29" s="104"/>
    </row>
    <row r="30" spans="1:7" ht="30" customHeight="1" x14ac:dyDescent="0.3">
      <c r="A30" s="125" t="s">
        <v>110</v>
      </c>
      <c r="B30" s="126" t="s">
        <v>723</v>
      </c>
      <c r="C30" s="11" t="s">
        <v>715</v>
      </c>
      <c r="D30" s="127" t="s">
        <v>111</v>
      </c>
      <c r="E30" s="39" t="s">
        <v>724</v>
      </c>
      <c r="F30" s="49" t="s">
        <v>103</v>
      </c>
      <c r="G30" s="104"/>
    </row>
    <row r="31" spans="1:7" ht="30" customHeight="1" x14ac:dyDescent="0.3">
      <c r="A31" s="128" t="s">
        <v>725</v>
      </c>
      <c r="B31" s="129" t="s">
        <v>726</v>
      </c>
      <c r="C31" s="11" t="s">
        <v>727</v>
      </c>
      <c r="D31" s="127" t="s">
        <v>111</v>
      </c>
      <c r="E31" s="8" t="s">
        <v>728</v>
      </c>
      <c r="F31" s="49" t="s">
        <v>103</v>
      </c>
      <c r="G31" s="104"/>
    </row>
    <row r="32" spans="1:7" ht="30" customHeight="1" x14ac:dyDescent="0.3">
      <c r="A32" s="125" t="s">
        <v>294</v>
      </c>
      <c r="B32" s="126" t="s">
        <v>729</v>
      </c>
      <c r="C32" s="11" t="s">
        <v>715</v>
      </c>
      <c r="D32" s="127" t="s">
        <v>162</v>
      </c>
      <c r="E32" s="39" t="s">
        <v>730</v>
      </c>
      <c r="F32" s="49" t="s">
        <v>103</v>
      </c>
      <c r="G32" s="104"/>
    </row>
    <row r="33" spans="1:12" ht="30" customHeight="1" x14ac:dyDescent="0.3">
      <c r="A33" s="128" t="s">
        <v>176</v>
      </c>
      <c r="B33" s="129" t="s">
        <v>731</v>
      </c>
      <c r="C33" s="11" t="s">
        <v>715</v>
      </c>
      <c r="D33" s="127" t="s">
        <v>111</v>
      </c>
      <c r="E33" s="8" t="s">
        <v>732</v>
      </c>
      <c r="F33" s="49" t="s">
        <v>103</v>
      </c>
      <c r="G33" s="104"/>
    </row>
    <row r="35" spans="1:12" x14ac:dyDescent="0.3">
      <c r="A35" s="138" t="s">
        <v>72</v>
      </c>
      <c r="B35" s="131"/>
      <c r="C35" s="131"/>
      <c r="D35" s="131"/>
      <c r="E35" s="131"/>
      <c r="F35" s="131"/>
      <c r="G35" s="131"/>
      <c r="H35" s="131"/>
      <c r="I35" s="131"/>
      <c r="J35" s="131"/>
      <c r="K35" s="131"/>
      <c r="L35" s="131"/>
    </row>
  </sheetData>
  <mergeCells count="7">
    <mergeCell ref="A35:L35"/>
    <mergeCell ref="A2:L2"/>
    <mergeCell ref="A14:G14"/>
    <mergeCell ref="A1:L1"/>
    <mergeCell ref="A4:G4"/>
    <mergeCell ref="A24:G24"/>
    <mergeCell ref="A3:L3"/>
  </mergeCells>
  <conditionalFormatting sqref="F26:F34">
    <cfRule type="cellIs" dxfId="7" priority="1" operator="equal">
      <formula>"Implemented"</formula>
    </cfRule>
    <cfRule type="cellIs" dxfId="6" priority="2" operator="equal">
      <formula>"Verified"</formula>
    </cfRule>
    <cfRule type="cellIs" dxfId="5" priority="3" operator="equal">
      <formula>"In Progress"</formula>
    </cfRule>
    <cfRule type="cellIs" dxfId="4" priority="4" operator="equal">
      <formula>"Partial"</formula>
    </cfRule>
    <cfRule type="cellIs" dxfId="3" priority="5" operator="equal">
      <formula>"Planned"</formula>
    </cfRule>
    <cfRule type="cellIs" dxfId="2" priority="6" operator="equal">
      <formula>"Not Started"</formula>
    </cfRule>
    <cfRule type="cellIs" dxfId="1" priority="7" operator="equal">
      <formula>"Not Applicable"</formula>
    </cfRule>
    <cfRule type="cellIs" dxfId="0" priority="8" operator="equal">
      <formula>"Gap — Critical"</formula>
    </cfRule>
  </conditionalFormatting>
  <dataValidations count="3">
    <dataValidation type="list" allowBlank="1" sqref="G6 G7 G8 G9 G10 G11" xr:uid="{00000000-0002-0000-0900-000000000000}">
      <formula1>"🟢 Compliant,🟡 Partially Compliant,🔴 Non-Compliant,⚪ Not Assessed"</formula1>
    </dataValidation>
    <dataValidation type="list" allowBlank="1" sqref="E16 E17 E18 E19 E20 E21" xr:uid="{00000000-0002-0000-0900-000001000000}">
      <formula1>"Yes,No,Assess"</formula1>
    </dataValidation>
    <dataValidation type="list" allowBlank="1" sqref="F26 F27 F28 F29 F30 F31 F32 F33" xr:uid="{00000000-0002-0000-0900-000002000000}">
      <formula1>"Not Started,In Progress,Implemented"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Framework Overview</vt:lpstr>
      <vt:lpstr>2. Unified Control Matrix</vt:lpstr>
      <vt:lpstr>3. CRA</vt:lpstr>
      <vt:lpstr>4. DPDPA</vt:lpstr>
      <vt:lpstr>5. GDPR</vt:lpstr>
      <vt:lpstr>6. HIPAA</vt:lpstr>
      <vt:lpstr>7. GLBA</vt:lpstr>
      <vt:lpstr>8. SOX</vt:lpstr>
      <vt:lpstr>9. Gap Assessment</vt:lpstr>
      <vt:lpstr>10. Compliance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prabh nair</cp:lastModifiedBy>
  <dcterms:created xsi:type="dcterms:W3CDTF">2026-05-16T14:37:09Z</dcterms:created>
  <dcterms:modified xsi:type="dcterms:W3CDTF">2026-05-16T15:11:10Z</dcterms:modified>
</cp:coreProperties>
</file>